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Ebin\Desktop\"/>
    </mc:Choice>
  </mc:AlternateContent>
  <xr:revisionPtr revIDLastSave="0" documentId="8_{D9D61707-DEA2-4640-A6AC-9194E82346DC}" xr6:coauthVersionLast="47" xr6:coauthVersionMax="47" xr10:uidLastSave="{00000000-0000-0000-0000-000000000000}"/>
  <bookViews>
    <workbookView xWindow="-108" yWindow="-108" windowWidth="23256" windowHeight="14616" activeTab="2" xr2:uid="{00000000-000D-0000-FFFF-FFFF00000000}"/>
  </bookViews>
  <sheets>
    <sheet name="Dashboard_Data" sheetId="2" r:id="rId1"/>
    <sheet name="Pivot" sheetId="3" r:id="rId2"/>
    <sheet name="Dashboard" sheetId="4" r:id="rId3"/>
  </sheets>
  <externalReferences>
    <externalReference r:id="rId4"/>
  </externalReferences>
  <definedNames>
    <definedName name="Slicer_Month">#N/A</definedName>
    <definedName name="Slicer_Year">#N/A</definedName>
  </definedNames>
  <calcPr calcId="191029"/>
  <pivotCaches>
    <pivotCache cacheId="43" r:id="rId5"/>
    <pivotCache cacheId="4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1" i="3" l="1"/>
  <c r="M11" i="3"/>
  <c r="L11" i="3"/>
  <c r="L9" i="3"/>
  <c r="N9" i="3"/>
  <c r="M9" i="3"/>
  <c r="E28" i="3"/>
  <c r="D28" i="3"/>
  <c r="Q20" i="3"/>
  <c r="Q21" i="3"/>
  <c r="Q22" i="3"/>
  <c r="Q23" i="3"/>
  <c r="Q24" i="3"/>
  <c r="Q25" i="3"/>
  <c r="Q26" i="3"/>
  <c r="Q27" i="3"/>
  <c r="Q28" i="3"/>
  <c r="Q29" i="3"/>
  <c r="Q30" i="3"/>
  <c r="Q19" i="3"/>
  <c r="P20" i="3"/>
  <c r="P21" i="3"/>
  <c r="P22" i="3"/>
  <c r="P23" i="3"/>
  <c r="P24" i="3"/>
  <c r="P25" i="3"/>
  <c r="P26" i="3"/>
  <c r="P27" i="3"/>
  <c r="P28" i="3"/>
  <c r="P29" i="3"/>
  <c r="P30" i="3"/>
  <c r="P19" i="3"/>
  <c r="D24" i="3"/>
  <c r="E24" i="3" s="1"/>
  <c r="D20" i="3"/>
  <c r="E20" i="3" s="1"/>
  <c r="D22" i="3"/>
  <c r="E22" i="3" s="1"/>
  <c r="V3" i="3"/>
  <c r="V4" i="3"/>
  <c r="V5" i="3"/>
  <c r="V6" i="3"/>
  <c r="V7" i="3"/>
  <c r="V8" i="3"/>
  <c r="V9" i="3"/>
  <c r="V10" i="3"/>
  <c r="V11" i="3"/>
  <c r="V12" i="3"/>
  <c r="V13" i="3"/>
  <c r="V2" i="3"/>
  <c r="W3" i="3"/>
  <c r="W4" i="3"/>
  <c r="W5" i="3"/>
  <c r="W6" i="3"/>
  <c r="W7" i="3"/>
  <c r="W8" i="3"/>
  <c r="W9" i="3"/>
  <c r="W10" i="3"/>
  <c r="W11" i="3"/>
  <c r="W12" i="3"/>
  <c r="W13" i="3"/>
  <c r="W2" i="3"/>
  <c r="T3" i="3"/>
  <c r="X3" i="3" s="1"/>
  <c r="T4" i="3"/>
  <c r="X4" i="3" s="1"/>
  <c r="T5" i="3"/>
  <c r="X5" i="3" s="1"/>
  <c r="T6" i="3"/>
  <c r="X6" i="3" s="1"/>
  <c r="T7" i="3"/>
  <c r="X7" i="3" s="1"/>
  <c r="T8" i="3"/>
  <c r="X8" i="3" s="1"/>
  <c r="T9" i="3"/>
  <c r="X9" i="3" s="1"/>
  <c r="T10" i="3"/>
  <c r="X10" i="3" s="1"/>
  <c r="T11" i="3"/>
  <c r="X11" i="3" s="1"/>
  <c r="T12" i="3"/>
  <c r="X12" i="3" s="1"/>
  <c r="T13" i="3"/>
  <c r="X13" i="3" s="1"/>
  <c r="T2" i="3"/>
  <c r="X2" i="3" s="1"/>
  <c r="S3" i="3"/>
  <c r="S4" i="3"/>
  <c r="S5" i="3"/>
  <c r="S6" i="3"/>
  <c r="S7" i="3"/>
  <c r="S8" i="3"/>
  <c r="S9" i="3"/>
  <c r="S10" i="3"/>
  <c r="S11" i="3"/>
  <c r="S12" i="3"/>
  <c r="S13" i="3"/>
  <c r="S2" i="3"/>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2" i="2"/>
  <c r="G22" i="3" l="1"/>
  <c r="G23" i="3" s="1"/>
  <c r="D26" i="3" l="1"/>
  <c r="E26" i="3" s="1"/>
  <c r="B16" i="3" l="1"/>
</calcChain>
</file>

<file path=xl/sharedStrings.xml><?xml version="1.0" encoding="utf-8"?>
<sst xmlns="http://schemas.openxmlformats.org/spreadsheetml/2006/main" count="158" uniqueCount="74">
  <si>
    <t>Year</t>
  </si>
  <si>
    <t>Month</t>
  </si>
  <si>
    <t>Purchase_Volume</t>
  </si>
  <si>
    <t>Sales_Volume</t>
  </si>
  <si>
    <t>Profit</t>
  </si>
  <si>
    <t>February</t>
  </si>
  <si>
    <t>Accessories</t>
  </si>
  <si>
    <t>March</t>
  </si>
  <si>
    <t>Electronics</t>
  </si>
  <si>
    <t>October</t>
  </si>
  <si>
    <t>Fashion</t>
  </si>
  <si>
    <t>December</t>
  </si>
  <si>
    <t>April</t>
  </si>
  <si>
    <t>January</t>
  </si>
  <si>
    <t>November</t>
  </si>
  <si>
    <t>July</t>
  </si>
  <si>
    <t>September</t>
  </si>
  <si>
    <t>August</t>
  </si>
  <si>
    <t>June</t>
  </si>
  <si>
    <t>May</t>
  </si>
  <si>
    <t>Visitors</t>
  </si>
  <si>
    <t>Returning_Buyers</t>
  </si>
  <si>
    <t>New_Buyers</t>
  </si>
  <si>
    <t>Profit Margin</t>
  </si>
  <si>
    <t>Level 1</t>
  </si>
  <si>
    <t>Level 2</t>
  </si>
  <si>
    <t>Level 3</t>
  </si>
  <si>
    <t>Level 4</t>
  </si>
  <si>
    <t>Level 5</t>
  </si>
  <si>
    <t>Row Labels</t>
  </si>
  <si>
    <t>Grand Total</t>
  </si>
  <si>
    <t>Sum of Visitors</t>
  </si>
  <si>
    <t>Sum of Returning_Buyers</t>
  </si>
  <si>
    <t>Sum of New_Buyers</t>
  </si>
  <si>
    <t>Total buyers</t>
  </si>
  <si>
    <t>Sum of Electronics</t>
  </si>
  <si>
    <t>Sum of Fashion</t>
  </si>
  <si>
    <t>Sum of Accessories</t>
  </si>
  <si>
    <t>Sum of Level 1</t>
  </si>
  <si>
    <t>Sum of Level 2</t>
  </si>
  <si>
    <t>Sum of Level 3</t>
  </si>
  <si>
    <t>Sum of Level 4</t>
  </si>
  <si>
    <t>Sum of Level 5</t>
  </si>
  <si>
    <t>Total visitors</t>
  </si>
  <si>
    <t>Buyers</t>
  </si>
  <si>
    <t>Sum of Buyers</t>
  </si>
  <si>
    <t>Visitors_org</t>
  </si>
  <si>
    <t>Conversion %</t>
  </si>
  <si>
    <t>Remaining</t>
  </si>
  <si>
    <t>Conversted %</t>
  </si>
  <si>
    <t>Category</t>
  </si>
  <si>
    <t>Value</t>
  </si>
  <si>
    <t>New Buyers</t>
  </si>
  <si>
    <t>Total buyers / orders</t>
  </si>
  <si>
    <t>KPI cards data</t>
  </si>
  <si>
    <t>Donught Chart</t>
  </si>
  <si>
    <t>Phase</t>
  </si>
  <si>
    <t>Planning</t>
  </si>
  <si>
    <t>Design</t>
  </si>
  <si>
    <t>Build</t>
  </si>
  <si>
    <t>Testing</t>
  </si>
  <si>
    <t>Launch</t>
  </si>
  <si>
    <t>Hidden Half</t>
  </si>
  <si>
    <t>A</t>
  </si>
  <si>
    <t>B</t>
  </si>
  <si>
    <t>Interest</t>
  </si>
  <si>
    <t>Checkout</t>
  </si>
  <si>
    <t>Purchase</t>
  </si>
  <si>
    <t>Conversion</t>
  </si>
  <si>
    <t>Funnel Chart</t>
  </si>
  <si>
    <t>Sum of Sales_Volume</t>
  </si>
  <si>
    <t>Line Chart</t>
  </si>
  <si>
    <t>Revenue</t>
  </si>
  <si>
    <t>Category revenue share(last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</si>
</sst>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6" formatCode="0.0&quot;K&quot;"/>
    <numFmt numFmtId="167" formatCode="0.00&quot;K&quot;"/>
    <numFmt numFmtId="168" formatCode="0&quot;K&quot;"/>
    <numFmt numFmtId="173" formatCode="0.0,&quot;K&quot;"/>
    <numFmt numFmtId="174" formatCode="0.0&quot;Cr&quot;"/>
  </numFmts>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left"/>
    </xf>
    <xf numFmtId="2" fontId="0" fillId="0" borderId="0" xfId="0" applyNumberFormat="1" applyAlignment="1">
      <alignment horizontal="left"/>
    </xf>
    <xf numFmtId="166" fontId="0" fillId="0" borderId="0" xfId="0" applyNumberFormat="1" applyAlignment="1">
      <alignment horizontal="left"/>
    </xf>
    <xf numFmtId="167" fontId="0" fillId="0" borderId="0" xfId="0" applyNumberFormat="1" applyAlignment="1">
      <alignment horizontal="left"/>
    </xf>
    <xf numFmtId="0" fontId="2" fillId="0" borderId="0" xfId="0" applyFont="1"/>
    <xf numFmtId="168" fontId="0" fillId="0" borderId="0" xfId="0" applyNumberFormat="1" applyAlignment="1">
      <alignment horizontal="left"/>
    </xf>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9" fontId="0" fillId="0" borderId="0" xfId="0" applyNumberFormat="1" applyAlignment="1">
      <alignment horizontal="right" vertical="center" wrapText="1"/>
    </xf>
    <xf numFmtId="173" fontId="0" fillId="0" borderId="0" xfId="0" applyNumberFormat="1" applyAlignment="1">
      <alignment horizontal="right" vertical="center" wrapText="1"/>
    </xf>
    <xf numFmtId="174" fontId="0" fillId="0" borderId="0" xfId="0" applyNumberFormat="1" applyAlignment="1">
      <alignment horizontal="left"/>
    </xf>
    <xf numFmtId="0" fontId="2" fillId="0" borderId="0" xfId="0" applyFont="1" applyAlignment="1">
      <alignment vertical="center" wrapText="1"/>
    </xf>
  </cellXfs>
  <cellStyles count="1">
    <cellStyle name="Normal" xfId="0" builtinId="0"/>
  </cellStyles>
  <dxfs count="16">
    <dxf>
      <font>
        <b/>
        <color theme="1"/>
      </font>
      <border>
        <bottom style="thin">
          <color theme="4"/>
        </bottom>
        <vertical/>
        <horizontal/>
      </border>
    </dxf>
    <dxf>
      <font>
        <color theme="1"/>
      </font>
      <fill>
        <patternFill>
          <bgColor theme="4" tint="-0.24994659260841701"/>
        </patternFill>
      </fill>
      <border diagonalUp="0" diagonalDown="0">
        <left/>
        <right/>
        <top/>
        <bottom/>
        <vertical/>
        <horizontal/>
      </border>
    </dxf>
    <dxf>
      <fill>
        <patternFill>
          <bgColor rgb="FF0070C0"/>
        </patternFill>
      </fill>
    </dxf>
    <dxf>
      <font>
        <b val="0"/>
        <i val="0"/>
        <name val="Aptos"/>
        <family val="2"/>
        <scheme val="none"/>
      </font>
      <fill>
        <patternFill patternType="none">
          <fgColor auto="1"/>
          <bgColor auto="1"/>
        </patternFill>
      </fill>
      <border diagonalUp="0" diagonalDown="0">
        <left/>
        <right/>
        <top/>
        <bottom/>
        <vertical/>
        <horizontal/>
      </border>
    </dxf>
    <dxf>
      <fill>
        <patternFill patternType="none">
          <bgColor auto="1"/>
        </patternFill>
      </fill>
      <border diagonalUp="0" diagonalDown="0">
        <left/>
        <right/>
        <top/>
        <bottom/>
        <vertical/>
        <horizontal/>
      </border>
    </dxf>
    <dxf>
      <font>
        <b val="0"/>
        <i val="0"/>
        <name val="Aptos"/>
        <family val="2"/>
        <scheme val="none"/>
      </font>
      <fill>
        <patternFill patternType="none">
          <fgColor auto="1"/>
          <bgColor auto="1"/>
        </patternFill>
      </fill>
      <border diagonalUp="0" diagonalDown="0">
        <left/>
        <right/>
        <top/>
        <bottom/>
        <vertical/>
        <horizontal/>
      </border>
    </dxf>
    <dxf>
      <font>
        <b val="0"/>
        <i val="0"/>
        <name val="Aptos"/>
        <family val="2"/>
        <scheme val="none"/>
      </font>
      <fill>
        <patternFill patternType="none">
          <fgColor auto="1"/>
          <bgColor auto="1"/>
        </patternFill>
      </fill>
      <border diagonalUp="0" diagonalDown="0">
        <left/>
        <right/>
        <top/>
        <bottom/>
        <vertical/>
        <horizontal/>
      </border>
    </dxf>
    <dxf>
      <font>
        <b val="0"/>
        <i val="0"/>
        <name val="Aptos"/>
        <family val="2"/>
        <scheme val="none"/>
      </font>
      <fill>
        <gradientFill degree="180">
          <stop position="0">
            <color theme="3" tint="0.80001220740379042"/>
          </stop>
          <stop position="1">
            <color rgb="FF0070C0"/>
          </stop>
        </gradientFill>
      </fill>
      <border diagonalUp="0" diagonalDown="0">
        <left/>
        <right/>
        <top/>
        <bottom/>
        <vertical/>
        <horizontal/>
      </border>
    </dxf>
    <dxf>
      <font>
        <b val="0"/>
        <i val="0"/>
        <color theme="0"/>
        <name val="Aptos"/>
        <family val="2"/>
        <scheme val="none"/>
      </font>
      <fill>
        <gradientFill>
          <stop position="0">
            <color theme="3" tint="0.59999389629810485"/>
          </stop>
          <stop position="1">
            <color rgb="FF0070C0"/>
          </stop>
        </gradientFill>
      </fill>
    </dxf>
    <dxf>
      <font>
        <b val="0"/>
        <i val="0"/>
        <color theme="0"/>
        <name val="Aptos"/>
        <family val="2"/>
        <scheme val="none"/>
      </font>
      <fill>
        <gradientFill degree="180">
          <stop position="0">
            <color theme="3" tint="0.59999389629810485"/>
          </stop>
          <stop position="1">
            <color theme="3" tint="0.40000610370189521"/>
          </stop>
        </gradientFill>
      </fill>
    </dxf>
    <dxf>
      <font>
        <color rgb="FF0069D2"/>
        <name val="Aptos"/>
        <family val="2"/>
        <scheme val="none"/>
      </font>
      <fill>
        <gradientFill degree="180">
          <stop position="0">
            <color theme="3" tint="0.59999389629810485"/>
          </stop>
          <stop position="1">
            <color theme="3" tint="-0.25098422193060094"/>
          </stop>
        </gradientFill>
      </fill>
    </dxf>
    <dxf>
      <font>
        <color rgb="FF0069D2"/>
        <name val="Aptos"/>
        <family val="2"/>
        <scheme val="none"/>
      </font>
    </dxf>
    <dxf>
      <font>
        <b/>
        <color theme="1"/>
      </font>
      <border>
        <bottom style="thin">
          <color theme="4"/>
        </bottom>
        <vertical/>
        <horizontal/>
      </border>
    </dxf>
    <dxf>
      <font>
        <color theme="1"/>
      </font>
      <fill>
        <patternFill>
          <bgColor rgb="FF07274E"/>
        </patternFill>
      </fill>
      <border diagonalUp="0" diagonalDown="0">
        <left/>
        <right/>
        <top/>
        <bottom/>
        <vertical/>
        <horizontal/>
      </border>
    </dxf>
    <dxf>
      <font>
        <b/>
        <color theme="1"/>
      </font>
      <border>
        <bottom style="thin">
          <color theme="4"/>
        </bottom>
        <vertical/>
        <horizontal/>
      </border>
    </dxf>
    <dxf>
      <font>
        <color theme="1"/>
      </font>
      <fill>
        <patternFill>
          <bgColor rgb="FF07274E"/>
        </patternFill>
      </fill>
      <border diagonalUp="0" diagonalDown="0">
        <left/>
        <right/>
        <top/>
        <bottom/>
        <vertical/>
        <horizontal/>
      </border>
    </dxf>
  </dxfs>
  <tableStyles count="14" defaultTableStyle="TableStyleMedium9" defaultPivotStyle="PivotStyleLight16">
    <tableStyle name="Slicer Style 1" pivot="0" table="0" count="0" xr9:uid="{C078F909-E0B2-425E-AB6F-D55F0D74BBAC}"/>
    <tableStyle name="Slicer Style 2" pivot="0" table="0" count="1" xr9:uid="{299726C5-ED6F-43F5-893C-1F7141488353}">
      <tableStyleElement type="wholeTable" dxfId="11"/>
    </tableStyle>
    <tableStyle name="Slicer Style 3" pivot="0" table="0" count="1" xr9:uid="{DCCDB028-8D49-436B-BD5A-37A210D1FED8}">
      <tableStyleElement type="wholeTable" dxfId="10"/>
    </tableStyle>
    <tableStyle name="Slicer Style 4" pivot="0" table="0" count="1" xr9:uid="{26BFBB37-29C7-4AD2-B978-0EFF233905F2}">
      <tableStyleElement type="wholeTable" dxfId="9"/>
    </tableStyle>
    <tableStyle name="Slicer Style 5" pivot="0" table="0" count="1" xr9:uid="{58FE262F-CE99-4C5B-9E31-11820502F8E9}">
      <tableStyleElement type="wholeTable" dxfId="8"/>
    </tableStyle>
    <tableStyle name="Slicer Style 6" pivot="0" table="0" count="1" xr9:uid="{DA717E10-AAD7-4791-91EE-CCF60178DD8C}">
      <tableStyleElement type="wholeTable" dxfId="7"/>
    </tableStyle>
    <tableStyle name="Slicer Style 6 2" pivot="0" table="0" count="1" xr9:uid="{BCE0218C-B627-4541-8D15-1C8BBF29DA31}">
      <tableStyleElement type="wholeTable" dxfId="6"/>
    </tableStyle>
    <tableStyle name="Slicer Style 6 3" pivot="0" table="0" count="1" xr9:uid="{DAC79FCF-F28A-42B7-8D2D-09218CE002BD}">
      <tableStyleElement type="wholeTable" dxfId="5"/>
    </tableStyle>
    <tableStyle name="Slicer Style 6 4" pivot="0" table="0" count="1" xr9:uid="{60F7BB85-E74C-4EE0-B77D-6D9EFA8653CA}">
      <tableStyleElement type="wholeTable" dxfId="3"/>
    </tableStyle>
    <tableStyle name="Slicer Style 7" pivot="0" table="0" count="1" xr9:uid="{FA6E48B5-8D1B-43E1-8F85-424D783D87E7}">
      <tableStyleElement type="wholeTable" dxfId="4"/>
    </tableStyle>
    <tableStyle name="Slicer Style 8" pivot="0" table="0" count="1" xr9:uid="{824005EE-EBC2-4F08-AE41-8A02F574E8ED}">
      <tableStyleElement type="wholeTable" dxfId="2"/>
    </tableStyle>
    <tableStyle name="SlicerStyleLight1 2 3" pivot="0" table="0" count="10" xr9:uid="{21ED2651-3820-4E8A-B555-16FFB82A1552}">
      <tableStyleElement type="wholeTable" dxfId="15"/>
      <tableStyleElement type="headerRow" dxfId="14"/>
    </tableStyle>
    <tableStyle name="SlicerStyleLight1 2 3 2" pivot="0" table="0" count="10" xr9:uid="{DCB53411-D3F6-4091-BE7F-CF8BEF7EAAE5}">
      <tableStyleElement type="wholeTable" dxfId="13"/>
      <tableStyleElement type="headerRow" dxfId="12"/>
    </tableStyle>
    <tableStyle name="SlicerStyleLight1 2 3 3" pivot="0" table="0" count="10" xr9:uid="{30BABDD3-7035-4F81-B642-7CD4F245157A}">
      <tableStyleElement type="wholeTable" dxfId="1"/>
      <tableStyleElement type="headerRow" dxfId="0"/>
    </tableStyle>
  </tableStyles>
  <colors>
    <mruColors>
      <color rgb="FF256EFF"/>
      <color rgb="FF0069D2"/>
      <color rgb="FF4BD0FF"/>
      <color rgb="FFF32E29"/>
      <color rgb="FF32C7F6"/>
      <color rgb="FF3CFA00"/>
      <color rgb="FFF68E38"/>
      <color rgb="FFEBE600"/>
      <color rgb="FF66FF33"/>
      <color rgb="FFBC00BC"/>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1AFFD5"/>
              </stop>
              <stop position="1">
                <color rgb="FF9BFF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rgb="FF00374B"/>
            </patternFill>
          </fill>
          <border diagonalUp="0" diagonalDown="0">
            <left style="thin">
              <color rgb="FF0B3F7C"/>
            </left>
            <right style="thin">
              <color rgb="FF0B3F7C"/>
            </right>
            <top style="thin">
              <color rgb="FF0B3F7C"/>
            </top>
            <bottom style="thin">
              <color rgb="FF0B3F7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1AFFD5"/>
              </stop>
              <stop position="1">
                <color rgb="FF9BFF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rgb="FF00374B"/>
            </patternFill>
          </fill>
          <border diagonalUp="0" diagonalDown="0">
            <left style="thin">
              <color rgb="FF0B3F7C"/>
            </left>
            <right style="thin">
              <color rgb="FF0B3F7C"/>
            </right>
            <top style="thin">
              <color rgb="FF0B3F7C"/>
            </top>
            <bottom style="thin">
              <color rgb="FF0B3F7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1AFFD5"/>
              </stop>
              <stop position="1">
                <color rgb="FF9BFF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rgb="FF00374B"/>
            </patternFill>
          </fill>
          <border diagonalUp="0" diagonalDown="0">
            <left style="thin">
              <color rgb="FF0B3F7C"/>
            </left>
            <right style="thin">
              <color rgb="FF0B3F7C"/>
            </right>
            <top style="thin">
              <color rgb="FF0B3F7C"/>
            </top>
            <bottom style="thin">
              <color rgb="FF0B3F7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6 2"/>
        <x14:slicerStyle name="Slicer Style 6 3"/>
        <x14:slicerStyle name="Slicer Style 6 4"/>
        <x14:slicerStyle name="Slicer Style 7"/>
        <x14:slicerStyle name="Slicer Style 8"/>
        <x14:slicerStyle name="SlicerStyleLight1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1050" b="0" i="0" u="none" strike="noStrike" kern="1200" spc="0" baseline="0">
                <a:solidFill>
                  <a:schemeClr val="tx1">
                    <a:lumMod val="65000"/>
                    <a:lumOff val="35000"/>
                  </a:schemeClr>
                </a:solidFill>
                <a:latin typeface="+mn-lt"/>
                <a:ea typeface="+mn-ea"/>
                <a:cs typeface="+mn-cs"/>
              </a:defRPr>
            </a:pPr>
            <a:r>
              <a:rPr lang="en-IN" sz="1200">
                <a:latin typeface="Aptos" panose="020B0004020202020204" pitchFamily="34" charset="0"/>
              </a:rPr>
              <a:t>Visitors &amp; Buyers</a:t>
            </a:r>
          </a:p>
        </c:rich>
      </c:tx>
      <c:layout>
        <c:manualLayout>
          <c:xMode val="edge"/>
          <c:yMode val="edge"/>
          <c:x val="0.23449300087489064"/>
          <c:y val="6.4814814814814811E-2"/>
        </c:manualLayout>
      </c:layout>
      <c:overlay val="0"/>
      <c:spPr>
        <a:noFill/>
        <a:ln>
          <a:noFill/>
        </a:ln>
        <a:effectLst/>
      </c:spPr>
      <c:txPr>
        <a:bodyPr rot="0" spcFirstLastPara="1" vertOverflow="ellipsis" vert="horz" wrap="square" anchor="t" anchorCtr="0"/>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Pivot!$W$1</c:f>
              <c:strCache>
                <c:ptCount val="1"/>
                <c:pt idx="0">
                  <c:v>Buyers</c:v>
                </c:pt>
              </c:strCache>
            </c:strRef>
          </c:tx>
          <c:spPr>
            <a:gradFill flip="none" rotWithShape="1">
              <a:gsLst>
                <a:gs pos="14000">
                  <a:schemeClr val="accent5">
                    <a:lumMod val="0"/>
                    <a:lumOff val="100000"/>
                  </a:schemeClr>
                </a:gs>
                <a:gs pos="30000">
                  <a:schemeClr val="accent5">
                    <a:lumMod val="0"/>
                    <a:lumOff val="100000"/>
                  </a:schemeClr>
                </a:gs>
                <a:gs pos="80000">
                  <a:schemeClr val="accent5">
                    <a:lumMod val="100000"/>
                  </a:schemeClr>
                </a:gs>
              </a:gsLst>
              <a:path path="circle">
                <a:fillToRect l="50000" t="-80000" r="50000" b="180000"/>
              </a:path>
              <a:tileRect/>
            </a:gradFill>
            <a:ln>
              <a:noFill/>
            </a:ln>
            <a:effectLst/>
          </c:spPr>
          <c:invertIfNegative val="0"/>
          <c:cat>
            <c:strRef>
              <c:f>Pivot!$V$2:$V$13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Pivot!$W$2:$W$13</c:f>
              <c:numCache>
                <c:formatCode>General</c:formatCode>
                <c:ptCount val="12"/>
                <c:pt idx="0">
                  <c:v>1287</c:v>
                </c:pt>
                <c:pt idx="1">
                  <c:v>1183</c:v>
                </c:pt>
                <c:pt idx="2">
                  <c:v>1255</c:v>
                </c:pt>
                <c:pt idx="3">
                  <c:v>1246</c:v>
                </c:pt>
                <c:pt idx="4">
                  <c:v>1248</c:v>
                </c:pt>
                <c:pt idx="5">
                  <c:v>1228</c:v>
                </c:pt>
                <c:pt idx="6">
                  <c:v>1314</c:v>
                </c:pt>
                <c:pt idx="7">
                  <c:v>1291</c:v>
                </c:pt>
                <c:pt idx="8">
                  <c:v>1303</c:v>
                </c:pt>
                <c:pt idx="9">
                  <c:v>1244</c:v>
                </c:pt>
                <c:pt idx="10">
                  <c:v>1183</c:v>
                </c:pt>
                <c:pt idx="11">
                  <c:v>1218</c:v>
                </c:pt>
              </c:numCache>
            </c:numRef>
          </c:val>
          <c:extLst>
            <c:ext xmlns:c16="http://schemas.microsoft.com/office/drawing/2014/chart" uri="{C3380CC4-5D6E-409C-BE32-E72D297353CC}">
              <c16:uniqueId val="{00000000-942E-4F82-B126-196929F58B2D}"/>
            </c:ext>
          </c:extLst>
        </c:ser>
        <c:dLbls>
          <c:showLegendKey val="0"/>
          <c:showVal val="0"/>
          <c:showCatName val="0"/>
          <c:showSerName val="0"/>
          <c:showPercent val="0"/>
          <c:showBubbleSize val="0"/>
        </c:dLbls>
        <c:gapWidth val="40"/>
        <c:axId val="1049248800"/>
        <c:axId val="1049250240"/>
      </c:barChart>
      <c:lineChart>
        <c:grouping val="standard"/>
        <c:varyColors val="0"/>
        <c:ser>
          <c:idx val="1"/>
          <c:order val="1"/>
          <c:tx>
            <c:strRef>
              <c:f>Pivot!$X$1</c:f>
              <c:strCache>
                <c:ptCount val="1"/>
                <c:pt idx="0">
                  <c:v>Visitors</c:v>
                </c:pt>
              </c:strCache>
            </c:strRef>
          </c:tx>
          <c:spPr>
            <a:ln w="34925" cap="rnd">
              <a:solidFill>
                <a:schemeClr val="accent6"/>
              </a:solidFill>
              <a:round/>
            </a:ln>
            <a:effectLst>
              <a:outerShdw blurRad="165100" dist="63500" dir="5400000" sx="101000" sy="101000" algn="t" rotWithShape="0">
                <a:srgbClr val="FF0000">
                  <a:alpha val="42000"/>
                </a:srgbClr>
              </a:outerShdw>
              <a:softEdge rad="0"/>
            </a:effectLst>
          </c:spPr>
          <c:marker>
            <c:symbol val="none"/>
          </c:marker>
          <c:cat>
            <c:strRef>
              <c:f>Pivot!$S$2:$S$13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Pivot!$X$2:$X$13</c:f>
              <c:numCache>
                <c:formatCode>General</c:formatCode>
                <c:ptCount val="12"/>
                <c:pt idx="0">
                  <c:v>1384</c:v>
                </c:pt>
                <c:pt idx="1">
                  <c:v>1283</c:v>
                </c:pt>
                <c:pt idx="2">
                  <c:v>1353</c:v>
                </c:pt>
                <c:pt idx="3">
                  <c:v>1341</c:v>
                </c:pt>
                <c:pt idx="4">
                  <c:v>1344</c:v>
                </c:pt>
                <c:pt idx="5">
                  <c:v>1327</c:v>
                </c:pt>
                <c:pt idx="6">
                  <c:v>1414</c:v>
                </c:pt>
                <c:pt idx="7">
                  <c:v>1389</c:v>
                </c:pt>
                <c:pt idx="8">
                  <c:v>1398</c:v>
                </c:pt>
                <c:pt idx="9">
                  <c:v>1343</c:v>
                </c:pt>
                <c:pt idx="10">
                  <c:v>1283</c:v>
                </c:pt>
                <c:pt idx="11">
                  <c:v>1316</c:v>
                </c:pt>
              </c:numCache>
            </c:numRef>
          </c:val>
          <c:smooth val="1"/>
          <c:extLst>
            <c:ext xmlns:c16="http://schemas.microsoft.com/office/drawing/2014/chart" uri="{C3380CC4-5D6E-409C-BE32-E72D297353CC}">
              <c16:uniqueId val="{00000001-942E-4F82-B126-196929F58B2D}"/>
            </c:ext>
          </c:extLst>
        </c:ser>
        <c:dLbls>
          <c:showLegendKey val="0"/>
          <c:showVal val="0"/>
          <c:showCatName val="0"/>
          <c:showSerName val="0"/>
          <c:showPercent val="0"/>
          <c:showBubbleSize val="0"/>
        </c:dLbls>
        <c:marker val="1"/>
        <c:smooth val="0"/>
        <c:axId val="1049248800"/>
        <c:axId val="1049250240"/>
      </c:lineChart>
      <c:catAx>
        <c:axId val="10492488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250240"/>
        <c:crosses val="autoZero"/>
        <c:auto val="1"/>
        <c:lblAlgn val="ctr"/>
        <c:lblOffset val="100"/>
        <c:noMultiLvlLbl val="0"/>
      </c:catAx>
      <c:valAx>
        <c:axId val="1049250240"/>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248800"/>
        <c:crosses val="autoZero"/>
        <c:crossBetween val="between"/>
      </c:valAx>
      <c:spPr>
        <a:noFill/>
        <a:ln>
          <a:noFill/>
        </a:ln>
        <a:effectLst/>
      </c:spPr>
    </c:plotArea>
    <c:legend>
      <c:legendPos val="t"/>
      <c:layout>
        <c:manualLayout>
          <c:xMode val="edge"/>
          <c:yMode val="edge"/>
          <c:x val="0.65830796150481186"/>
          <c:y val="5.935185185185185E-2"/>
          <c:w val="0.3333840769903762"/>
          <c:h val="7.8125546806649182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60240963855423"/>
          <c:y val="5.6122448979591837E-2"/>
          <c:w val="0.6987951807228916"/>
          <c:h val="0.88775510204081631"/>
        </c:manualLayout>
      </c:layout>
      <c:doughnutChart>
        <c:varyColors val="1"/>
        <c:ser>
          <c:idx val="0"/>
          <c:order val="0"/>
          <c:tx>
            <c:strRef>
              <c:f>Pivot!$G$21</c:f>
              <c:strCache>
                <c:ptCount val="1"/>
                <c:pt idx="0">
                  <c:v>Value</c:v>
                </c:pt>
              </c:strCache>
            </c:strRef>
          </c:tx>
          <c:spPr>
            <a:solidFill>
              <a:srgbClr val="00B0F0"/>
            </a:solidFill>
            <a:ln>
              <a:noFill/>
            </a:ln>
          </c:spPr>
          <c:dPt>
            <c:idx val="0"/>
            <c:bubble3D val="0"/>
            <c:spPr>
              <a:solidFill>
                <a:srgbClr val="00B0F0"/>
              </a:solidFill>
              <a:ln w="19050">
                <a:noFill/>
              </a:ln>
              <a:effectLst>
                <a:outerShdw blurRad="177800" dist="38100" dir="2700000" algn="tl" rotWithShape="0">
                  <a:prstClr val="black">
                    <a:alpha val="60000"/>
                  </a:prstClr>
                </a:outerShdw>
              </a:effectLst>
            </c:spPr>
            <c:extLst>
              <c:ext xmlns:c16="http://schemas.microsoft.com/office/drawing/2014/chart" uri="{C3380CC4-5D6E-409C-BE32-E72D297353CC}">
                <c16:uniqueId val="{00000001-F6F3-41D1-9DE4-B2A722646AA7}"/>
              </c:ext>
            </c:extLst>
          </c:dPt>
          <c:dPt>
            <c:idx val="1"/>
            <c:bubble3D val="0"/>
            <c:spPr>
              <a:solidFill>
                <a:srgbClr val="C00000">
                  <a:alpha val="90000"/>
                </a:srgbClr>
              </a:solidFill>
              <a:ln w="19050">
                <a:noFill/>
              </a:ln>
              <a:effectLst>
                <a:outerShdw blurRad="177800" dist="38100" dir="2700000" algn="tl" rotWithShape="0">
                  <a:prstClr val="black">
                    <a:alpha val="60000"/>
                  </a:prstClr>
                </a:outerShdw>
              </a:effectLst>
            </c:spPr>
            <c:extLst>
              <c:ext xmlns:c16="http://schemas.microsoft.com/office/drawing/2014/chart" uri="{C3380CC4-5D6E-409C-BE32-E72D297353CC}">
                <c16:uniqueId val="{00000003-F6F3-41D1-9DE4-B2A722646AA7}"/>
              </c:ext>
            </c:extLst>
          </c:dPt>
          <c:cat>
            <c:strRef>
              <c:f>Pivot!$F$22:$F$23</c:f>
              <c:strCache>
                <c:ptCount val="2"/>
                <c:pt idx="0">
                  <c:v>Conversted %</c:v>
                </c:pt>
                <c:pt idx="1">
                  <c:v>Remaining</c:v>
                </c:pt>
              </c:strCache>
            </c:strRef>
          </c:cat>
          <c:val>
            <c:numRef>
              <c:f>Pivot!$G$22:$G$23</c:f>
              <c:numCache>
                <c:formatCode>0.00</c:formatCode>
                <c:ptCount val="2"/>
                <c:pt idx="0">
                  <c:v>0.60560934891485807</c:v>
                </c:pt>
                <c:pt idx="1">
                  <c:v>0.39439065108514193</c:v>
                </c:pt>
              </c:numCache>
            </c:numRef>
          </c:val>
          <c:extLst>
            <c:ext xmlns:c16="http://schemas.microsoft.com/office/drawing/2014/chart" uri="{C3380CC4-5D6E-409C-BE32-E72D297353CC}">
              <c16:uniqueId val="{00000004-F6F3-41D1-9DE4-B2A722646AA7}"/>
            </c:ext>
          </c:extLst>
        </c:ser>
        <c:dLbls>
          <c:showLegendKey val="0"/>
          <c:showVal val="0"/>
          <c:showCatName val="0"/>
          <c:showSerName val="0"/>
          <c:showPercent val="0"/>
          <c:showBubbleSize val="0"/>
          <c:showLeaderLines val="1"/>
        </c:dLbls>
        <c:firstSliceAng val="0"/>
        <c:holeSize val="5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704025020824492"/>
          <c:y val="5.9198660303009049E-2"/>
          <c:w val="0.40678689864365758"/>
          <c:h val="0.94061636091867218"/>
        </c:manualLayout>
      </c:layout>
      <c:doughnutChart>
        <c:varyColors val="1"/>
        <c:ser>
          <c:idx val="0"/>
          <c:order val="0"/>
          <c:tx>
            <c:strRef>
              <c:f>Pivot!$J$20</c:f>
              <c:strCache>
                <c:ptCount val="1"/>
                <c:pt idx="0">
                  <c:v>Value</c:v>
                </c:pt>
              </c:strCache>
            </c:strRef>
          </c:tx>
          <c:spPr>
            <a:ln w="25400">
              <a:solidFill>
                <a:schemeClr val="bg1"/>
              </a:solidFill>
            </a:ln>
          </c:spPr>
          <c:dPt>
            <c:idx val="0"/>
            <c:bubble3D val="0"/>
            <c:spPr>
              <a:solidFill>
                <a:srgbClr val="BC00BC"/>
              </a:solidFill>
              <a:ln w="25400">
                <a:solidFill>
                  <a:schemeClr val="bg1"/>
                </a:solidFill>
              </a:ln>
              <a:effectLst/>
            </c:spPr>
            <c:extLst>
              <c:ext xmlns:c16="http://schemas.microsoft.com/office/drawing/2014/chart" uri="{C3380CC4-5D6E-409C-BE32-E72D297353CC}">
                <c16:uniqueId val="{00000001-F79F-4F59-9C5B-3344BFC4EB70}"/>
              </c:ext>
            </c:extLst>
          </c:dPt>
          <c:dPt>
            <c:idx val="1"/>
            <c:bubble3D val="0"/>
            <c:spPr>
              <a:solidFill>
                <a:srgbClr val="256EFF"/>
              </a:solidFill>
              <a:ln w="25400">
                <a:solidFill>
                  <a:schemeClr val="bg1"/>
                </a:solidFill>
              </a:ln>
              <a:effectLst/>
            </c:spPr>
            <c:extLst>
              <c:ext xmlns:c16="http://schemas.microsoft.com/office/drawing/2014/chart" uri="{C3380CC4-5D6E-409C-BE32-E72D297353CC}">
                <c16:uniqueId val="{00000003-F79F-4F59-9C5B-3344BFC4EB70}"/>
              </c:ext>
            </c:extLst>
          </c:dPt>
          <c:dPt>
            <c:idx val="2"/>
            <c:bubble3D val="0"/>
            <c:spPr>
              <a:solidFill>
                <a:srgbClr val="4BD0FF"/>
              </a:solidFill>
              <a:ln w="25400">
                <a:solidFill>
                  <a:schemeClr val="bg1"/>
                </a:solidFill>
              </a:ln>
              <a:effectLst/>
            </c:spPr>
            <c:extLst>
              <c:ext xmlns:c16="http://schemas.microsoft.com/office/drawing/2014/chart" uri="{C3380CC4-5D6E-409C-BE32-E72D297353CC}">
                <c16:uniqueId val="{00000005-F79F-4F59-9C5B-3344BFC4EB70}"/>
              </c:ext>
            </c:extLst>
          </c:dPt>
          <c:dPt>
            <c:idx val="3"/>
            <c:bubble3D val="0"/>
            <c:spPr>
              <a:solidFill>
                <a:srgbClr val="3CFA00"/>
              </a:solidFill>
              <a:ln w="25400">
                <a:solidFill>
                  <a:schemeClr val="bg1"/>
                </a:solidFill>
              </a:ln>
              <a:effectLst/>
            </c:spPr>
            <c:extLst>
              <c:ext xmlns:c16="http://schemas.microsoft.com/office/drawing/2014/chart" uri="{C3380CC4-5D6E-409C-BE32-E72D297353CC}">
                <c16:uniqueId val="{00000007-F79F-4F59-9C5B-3344BFC4EB70}"/>
              </c:ext>
            </c:extLst>
          </c:dPt>
          <c:dPt>
            <c:idx val="4"/>
            <c:bubble3D val="0"/>
            <c:spPr>
              <a:solidFill>
                <a:srgbClr val="EBE600"/>
              </a:solidFill>
              <a:ln w="25400">
                <a:solidFill>
                  <a:schemeClr val="bg1"/>
                </a:solidFill>
              </a:ln>
              <a:effectLst/>
            </c:spPr>
            <c:extLst>
              <c:ext xmlns:c16="http://schemas.microsoft.com/office/drawing/2014/chart" uri="{C3380CC4-5D6E-409C-BE32-E72D297353CC}">
                <c16:uniqueId val="{00000009-F79F-4F59-9C5B-3344BFC4EB70}"/>
              </c:ext>
            </c:extLst>
          </c:dPt>
          <c:dPt>
            <c:idx val="5"/>
            <c:bubble3D val="0"/>
            <c:spPr>
              <a:noFill/>
              <a:ln w="25400">
                <a:noFill/>
              </a:ln>
              <a:effectLst/>
            </c:spPr>
            <c:extLst>
              <c:ext xmlns:c16="http://schemas.microsoft.com/office/drawing/2014/chart" uri="{C3380CC4-5D6E-409C-BE32-E72D297353CC}">
                <c16:uniqueId val="{0000000B-F79F-4F59-9C5B-3344BFC4EB70}"/>
              </c:ext>
            </c:extLst>
          </c:dPt>
          <c:cat>
            <c:strRef>
              <c:f>Pivot!$I$21:$I$26</c:f>
              <c:strCache>
                <c:ptCount val="6"/>
                <c:pt idx="0">
                  <c:v>Planning</c:v>
                </c:pt>
                <c:pt idx="1">
                  <c:v>Design</c:v>
                </c:pt>
                <c:pt idx="2">
                  <c:v>Build</c:v>
                </c:pt>
                <c:pt idx="3">
                  <c:v>Testing</c:v>
                </c:pt>
                <c:pt idx="4">
                  <c:v>Launch</c:v>
                </c:pt>
                <c:pt idx="5">
                  <c:v>Hidden Half</c:v>
                </c:pt>
              </c:strCache>
            </c:strRef>
          </c:cat>
          <c:val>
            <c:numRef>
              <c:f>Pivot!$J$21:$J$26</c:f>
              <c:numCache>
                <c:formatCode>General</c:formatCode>
                <c:ptCount val="6"/>
                <c:pt idx="0">
                  <c:v>10</c:v>
                </c:pt>
                <c:pt idx="1">
                  <c:v>10</c:v>
                </c:pt>
                <c:pt idx="2">
                  <c:v>10</c:v>
                </c:pt>
                <c:pt idx="3">
                  <c:v>10</c:v>
                </c:pt>
                <c:pt idx="4">
                  <c:v>10</c:v>
                </c:pt>
                <c:pt idx="5">
                  <c:v>50</c:v>
                </c:pt>
              </c:numCache>
            </c:numRef>
          </c:val>
          <c:extLst>
            <c:ext xmlns:c16="http://schemas.microsoft.com/office/drawing/2014/chart" uri="{C3380CC4-5D6E-409C-BE32-E72D297353CC}">
              <c16:uniqueId val="{0000000C-F79F-4F59-9C5B-3344BFC4EB70}"/>
            </c:ext>
          </c:extLst>
        </c:ser>
        <c:dLbls>
          <c:showLegendKey val="0"/>
          <c:showVal val="0"/>
          <c:showCatName val="0"/>
          <c:showSerName val="0"/>
          <c:showPercent val="0"/>
          <c:showBubbleSize val="0"/>
          <c:showLeaderLines val="1"/>
        </c:dLbls>
        <c:firstSliceAng val="270"/>
        <c:holeSize val="6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1.png"/><Relationship Id="rId7"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10.svg"/><Relationship Id="rId5" Type="http://schemas.openxmlformats.org/officeDocument/2006/relationships/image" Target="../media/image3.png"/><Relationship Id="rId10" Type="http://schemas.openxmlformats.org/officeDocument/2006/relationships/image" Target="../media/image9.png"/><Relationship Id="rId4" Type="http://schemas.openxmlformats.org/officeDocument/2006/relationships/image" Target="../media/image2.svg"/><Relationship Id="rId9" Type="http://schemas.openxmlformats.org/officeDocument/2006/relationships/image" Target="../media/image8.svg"/></Relationships>
</file>

<file path=xl/drawings/_rels/drawing3.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25400</xdr:colOff>
      <xdr:row>0</xdr:row>
      <xdr:rowOff>0</xdr:rowOff>
    </xdr:from>
    <xdr:to>
      <xdr:col>39</xdr:col>
      <xdr:colOff>292100</xdr:colOff>
      <xdr:row>69</xdr:row>
      <xdr:rowOff>25400</xdr:rowOff>
    </xdr:to>
    <xdr:sp macro="" textlink="">
      <xdr:nvSpPr>
        <xdr:cNvPr id="2" name="Rectangle 1">
          <a:extLst>
            <a:ext uri="{FF2B5EF4-FFF2-40B4-BE49-F238E27FC236}">
              <a16:creationId xmlns:a16="http://schemas.microsoft.com/office/drawing/2014/main" id="{2D4E53E0-58D0-40E8-9CDF-4A9A771A208C}"/>
            </a:ext>
          </a:extLst>
        </xdr:cNvPr>
        <xdr:cNvSpPr/>
      </xdr:nvSpPr>
      <xdr:spPr>
        <a:xfrm>
          <a:off x="25400" y="0"/>
          <a:ext cx="24041100" cy="1229360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546100</xdr:colOff>
      <xdr:row>9</xdr:row>
      <xdr:rowOff>165100</xdr:rowOff>
    </xdr:from>
    <xdr:to>
      <xdr:col>26</xdr:col>
      <xdr:colOff>426317</xdr:colOff>
      <xdr:row>48</xdr:row>
      <xdr:rowOff>130175</xdr:rowOff>
    </xdr:to>
    <xdr:grpSp>
      <xdr:nvGrpSpPr>
        <xdr:cNvPr id="23" name="Group 22">
          <a:extLst>
            <a:ext uri="{FF2B5EF4-FFF2-40B4-BE49-F238E27FC236}">
              <a16:creationId xmlns:a16="http://schemas.microsoft.com/office/drawing/2014/main" id="{E6B70702-2266-B813-287A-616085CED4D4}"/>
            </a:ext>
          </a:extLst>
        </xdr:cNvPr>
        <xdr:cNvGrpSpPr/>
      </xdr:nvGrpSpPr>
      <xdr:grpSpPr>
        <a:xfrm>
          <a:off x="3594100" y="1765300"/>
          <a:ext cx="12681817" cy="6899275"/>
          <a:chOff x="3594100" y="1765300"/>
          <a:chExt cx="12681817" cy="6899275"/>
        </a:xfrm>
      </xdr:grpSpPr>
      <xdr:sp macro="" textlink="">
        <xdr:nvSpPr>
          <xdr:cNvPr id="3" name="Rectangle: Rounded Corners 2">
            <a:extLst>
              <a:ext uri="{FF2B5EF4-FFF2-40B4-BE49-F238E27FC236}">
                <a16:creationId xmlns:a16="http://schemas.microsoft.com/office/drawing/2014/main" id="{F8F463B9-92B0-4830-89FE-C77AAF83EE1B}"/>
              </a:ext>
            </a:extLst>
          </xdr:cNvPr>
          <xdr:cNvSpPr/>
        </xdr:nvSpPr>
        <xdr:spPr>
          <a:xfrm>
            <a:off x="4848146" y="1794933"/>
            <a:ext cx="11427771" cy="6862579"/>
          </a:xfrm>
          <a:prstGeom prst="roundRect">
            <a:avLst>
              <a:gd name="adj" fmla="val 3902"/>
            </a:avLst>
          </a:prstGeom>
          <a:gradFill flip="none" rotWithShape="1">
            <a:gsLst>
              <a:gs pos="0">
                <a:schemeClr val="accent5">
                  <a:lumMod val="67000"/>
                </a:schemeClr>
              </a:gs>
              <a:gs pos="0">
                <a:schemeClr val="accent5">
                  <a:lumMod val="97000"/>
                  <a:lumOff val="3000"/>
                </a:schemeClr>
              </a:gs>
              <a:gs pos="100000">
                <a:srgbClr val="0070C0"/>
              </a:gs>
            </a:gsLst>
            <a:path path="circle">
              <a:fillToRect r="100000" b="100000"/>
            </a:path>
            <a:tileRect l="-100000" t="-10000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 name="Rectangle: Rounded Corners 3">
            <a:extLst>
              <a:ext uri="{FF2B5EF4-FFF2-40B4-BE49-F238E27FC236}">
                <a16:creationId xmlns:a16="http://schemas.microsoft.com/office/drawing/2014/main" id="{F14913A8-D182-43A1-B57D-F47CE7D49FB6}"/>
              </a:ext>
            </a:extLst>
          </xdr:cNvPr>
          <xdr:cNvSpPr/>
        </xdr:nvSpPr>
        <xdr:spPr>
          <a:xfrm>
            <a:off x="3594100" y="1765300"/>
            <a:ext cx="2279650" cy="6899275"/>
          </a:xfrm>
          <a:prstGeom prst="roundRect">
            <a:avLst>
              <a:gd name="adj" fmla="val 10728"/>
            </a:avLst>
          </a:prstGeom>
          <a:gradFill flip="none" rotWithShape="1">
            <a:gsLst>
              <a:gs pos="32000">
                <a:srgbClr val="002060"/>
              </a:gs>
              <a:gs pos="100000">
                <a:schemeClr val="accent5">
                  <a:lumMod val="89000"/>
                </a:schemeClr>
              </a:gs>
              <a:gs pos="100000">
                <a:schemeClr val="accent5">
                  <a:lumMod val="75000"/>
                </a:schemeClr>
              </a:gs>
              <a:gs pos="100000">
                <a:schemeClr val="accent5">
                  <a:lumMod val="70000"/>
                </a:schemeClr>
              </a:gs>
            </a:gsLst>
            <a:path path="circle">
              <a:fillToRect l="100000" t="100000"/>
            </a:path>
            <a:tileRect r="-100000" b="-10000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latin typeface="Aptos" panose="020B0004020202020204" pitchFamily="34" charset="0"/>
              </a:rPr>
              <a:t>  </a:t>
            </a:r>
            <a:endParaRPr lang="ru-RU" sz="2000">
              <a:latin typeface="Aptos" panose="020B0004020202020204" pitchFamily="34" charset="0"/>
            </a:endParaRPr>
          </a:p>
        </xdr:txBody>
      </xdr:sp>
    </xdr:grpSp>
    <xdr:clientData/>
  </xdr:twoCellAnchor>
  <xdr:twoCellAnchor>
    <xdr:from>
      <xdr:col>10</xdr:col>
      <xdr:colOff>149146</xdr:colOff>
      <xdr:row>19</xdr:row>
      <xdr:rowOff>111961</xdr:rowOff>
    </xdr:from>
    <xdr:to>
      <xdr:col>20</xdr:col>
      <xdr:colOff>368300</xdr:colOff>
      <xdr:row>33</xdr:row>
      <xdr:rowOff>64559</xdr:rowOff>
    </xdr:to>
    <xdr:sp macro="" textlink="">
      <xdr:nvSpPr>
        <xdr:cNvPr id="7" name="Rectangle: Rounded Corners 6">
          <a:extLst>
            <a:ext uri="{FF2B5EF4-FFF2-40B4-BE49-F238E27FC236}">
              <a16:creationId xmlns:a16="http://schemas.microsoft.com/office/drawing/2014/main" id="{29939E12-6E19-4A0C-A54C-F708E609322F}"/>
            </a:ext>
          </a:extLst>
        </xdr:cNvPr>
        <xdr:cNvSpPr/>
      </xdr:nvSpPr>
      <xdr:spPr>
        <a:xfrm>
          <a:off x="6245146" y="3490161"/>
          <a:ext cx="6315154" cy="2441798"/>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l"/>
          <a:endParaRPr lang="ru-RU" sz="1100">
            <a:solidFill>
              <a:schemeClr val="lt1"/>
            </a:solidFill>
            <a:latin typeface="+mn-lt"/>
            <a:ea typeface="+mn-ea"/>
            <a:cs typeface="+mn-cs"/>
          </a:endParaRPr>
        </a:p>
      </xdr:txBody>
    </xdr:sp>
    <xdr:clientData/>
  </xdr:twoCellAnchor>
  <xdr:twoCellAnchor>
    <xdr:from>
      <xdr:col>21</xdr:col>
      <xdr:colOff>76200</xdr:colOff>
      <xdr:row>19</xdr:row>
      <xdr:rowOff>114300</xdr:rowOff>
    </xdr:from>
    <xdr:to>
      <xdr:col>26</xdr:col>
      <xdr:colOff>76121</xdr:colOff>
      <xdr:row>33</xdr:row>
      <xdr:rowOff>64559</xdr:rowOff>
    </xdr:to>
    <xdr:sp macro="" textlink="">
      <xdr:nvSpPr>
        <xdr:cNvPr id="9" name="Rectangle: Rounded Corners 8">
          <a:extLst>
            <a:ext uri="{FF2B5EF4-FFF2-40B4-BE49-F238E27FC236}">
              <a16:creationId xmlns:a16="http://schemas.microsoft.com/office/drawing/2014/main" id="{23E4EECB-7A1F-47DD-9DAF-2B79B2F44E19}"/>
            </a:ext>
          </a:extLst>
        </xdr:cNvPr>
        <xdr:cNvSpPr/>
      </xdr:nvSpPr>
      <xdr:spPr>
        <a:xfrm>
          <a:off x="12877800" y="3492500"/>
          <a:ext cx="3047921" cy="2439459"/>
        </a:xfrm>
        <a:prstGeom prst="roundRect">
          <a:avLst>
            <a:gd name="adj" fmla="val 9453"/>
          </a:avLst>
        </a:prstGeom>
        <a:gradFill>
          <a:gsLst>
            <a:gs pos="0">
              <a:srgbClr val="CDE7E8"/>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l"/>
          <a:endParaRPr lang="ru-RU" sz="1100">
            <a:solidFill>
              <a:schemeClr val="lt1"/>
            </a:solidFill>
            <a:latin typeface="+mn-lt"/>
            <a:ea typeface="+mn-ea"/>
            <a:cs typeface="+mn-cs"/>
          </a:endParaRPr>
        </a:p>
      </xdr:txBody>
    </xdr:sp>
    <xdr:clientData/>
  </xdr:twoCellAnchor>
  <xdr:twoCellAnchor>
    <xdr:from>
      <xdr:col>10</xdr:col>
      <xdr:colOff>149146</xdr:colOff>
      <xdr:row>34</xdr:row>
      <xdr:rowOff>169333</xdr:rowOff>
    </xdr:from>
    <xdr:to>
      <xdr:col>15</xdr:col>
      <xdr:colOff>520700</xdr:colOff>
      <xdr:row>47</xdr:row>
      <xdr:rowOff>115358</xdr:rowOff>
    </xdr:to>
    <xdr:sp macro="" textlink="">
      <xdr:nvSpPr>
        <xdr:cNvPr id="18" name="Rectangle: Rounded Corners 17">
          <a:extLst>
            <a:ext uri="{FF2B5EF4-FFF2-40B4-BE49-F238E27FC236}">
              <a16:creationId xmlns:a16="http://schemas.microsoft.com/office/drawing/2014/main" id="{16A316EB-F810-4F5E-8860-1D70C1ADD636}"/>
            </a:ext>
          </a:extLst>
        </xdr:cNvPr>
        <xdr:cNvSpPr/>
      </xdr:nvSpPr>
      <xdr:spPr>
        <a:xfrm>
          <a:off x="6245146" y="6214533"/>
          <a:ext cx="3419554" cy="2257425"/>
        </a:xfrm>
        <a:prstGeom prst="roundRect">
          <a:avLst>
            <a:gd name="adj" fmla="val 9453"/>
          </a:avLst>
        </a:prstGeom>
        <a:gradFill>
          <a:gsLst>
            <a:gs pos="0">
              <a:srgbClr val="CDE7E8"/>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l"/>
          <a:endParaRPr lang="ru-RU" sz="1400">
            <a:solidFill>
              <a:schemeClr val="tx1"/>
            </a:solidFill>
            <a:latin typeface="+mn-lt"/>
            <a:ea typeface="+mn-ea"/>
            <a:cs typeface="+mn-cs"/>
          </a:endParaRPr>
        </a:p>
      </xdr:txBody>
    </xdr:sp>
    <xdr:clientData/>
  </xdr:twoCellAnchor>
  <xdr:twoCellAnchor>
    <xdr:from>
      <xdr:col>16</xdr:col>
      <xdr:colOff>149146</xdr:colOff>
      <xdr:row>34</xdr:row>
      <xdr:rowOff>169333</xdr:rowOff>
    </xdr:from>
    <xdr:to>
      <xdr:col>20</xdr:col>
      <xdr:colOff>517367</xdr:colOff>
      <xdr:row>47</xdr:row>
      <xdr:rowOff>115358</xdr:rowOff>
    </xdr:to>
    <xdr:sp macro="" textlink="">
      <xdr:nvSpPr>
        <xdr:cNvPr id="19" name="Rectangle: Rounded Corners 18">
          <a:extLst>
            <a:ext uri="{FF2B5EF4-FFF2-40B4-BE49-F238E27FC236}">
              <a16:creationId xmlns:a16="http://schemas.microsoft.com/office/drawing/2014/main" id="{772262BF-D31E-448D-ACB5-EF82E045B5CF}"/>
            </a:ext>
          </a:extLst>
        </xdr:cNvPr>
        <xdr:cNvSpPr/>
      </xdr:nvSpPr>
      <xdr:spPr>
        <a:xfrm>
          <a:off x="9902746" y="6214533"/>
          <a:ext cx="2806621" cy="2257425"/>
        </a:xfrm>
        <a:prstGeom prst="roundRect">
          <a:avLst>
            <a:gd name="adj" fmla="val 9453"/>
          </a:avLst>
        </a:prstGeom>
        <a:gradFill>
          <a:gsLst>
            <a:gs pos="0">
              <a:srgbClr val="CDE7E8"/>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l"/>
          <a:endParaRPr lang="ru-RU" sz="1100">
            <a:solidFill>
              <a:schemeClr val="lt1"/>
            </a:solidFill>
            <a:latin typeface="+mn-lt"/>
            <a:ea typeface="+mn-ea"/>
            <a:cs typeface="+mn-cs"/>
          </a:endParaRPr>
        </a:p>
      </xdr:txBody>
    </xdr:sp>
    <xdr:clientData/>
  </xdr:twoCellAnchor>
  <xdr:twoCellAnchor>
    <xdr:from>
      <xdr:col>21</xdr:col>
      <xdr:colOff>127000</xdr:colOff>
      <xdr:row>34</xdr:row>
      <xdr:rowOff>169333</xdr:rowOff>
    </xdr:from>
    <xdr:to>
      <xdr:col>26</xdr:col>
      <xdr:colOff>139621</xdr:colOff>
      <xdr:row>47</xdr:row>
      <xdr:rowOff>115358</xdr:rowOff>
    </xdr:to>
    <xdr:sp macro="" textlink="">
      <xdr:nvSpPr>
        <xdr:cNvPr id="20" name="Rectangle: Rounded Corners 19">
          <a:extLst>
            <a:ext uri="{FF2B5EF4-FFF2-40B4-BE49-F238E27FC236}">
              <a16:creationId xmlns:a16="http://schemas.microsoft.com/office/drawing/2014/main" id="{D49C4A33-74D0-4C4F-A12D-41C07BB1AAFB}"/>
            </a:ext>
          </a:extLst>
        </xdr:cNvPr>
        <xdr:cNvSpPr/>
      </xdr:nvSpPr>
      <xdr:spPr>
        <a:xfrm>
          <a:off x="12928600" y="6214533"/>
          <a:ext cx="3060621" cy="2257425"/>
        </a:xfrm>
        <a:prstGeom prst="roundRect">
          <a:avLst>
            <a:gd name="adj" fmla="val 9453"/>
          </a:avLst>
        </a:prstGeom>
        <a:gradFill>
          <a:gsLst>
            <a:gs pos="0">
              <a:srgbClr val="CDE7E8"/>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l"/>
          <a:r>
            <a:rPr lang="en-IN" sz="1200">
              <a:solidFill>
                <a:schemeClr val="tx1"/>
              </a:solidFill>
              <a:latin typeface="Aptos" panose="020B0004020202020204" pitchFamily="34" charset="0"/>
              <a:ea typeface="+mn-ea"/>
              <a:cs typeface="+mn-cs"/>
            </a:rPr>
            <a:t>Category Revenue Share</a:t>
          </a:r>
          <a:endParaRPr lang="ru-RU" sz="1200">
            <a:solidFill>
              <a:schemeClr val="tx1"/>
            </a:solidFill>
            <a:latin typeface="Aptos" panose="020B0004020202020204" pitchFamily="34" charset="0"/>
            <a:ea typeface="+mn-ea"/>
            <a:cs typeface="+mn-cs"/>
          </a:endParaRPr>
        </a:p>
      </xdr:txBody>
    </xdr:sp>
    <xdr:clientData/>
  </xdr:twoCellAnchor>
  <xdr:twoCellAnchor editAs="oneCell">
    <xdr:from>
      <xdr:col>6</xdr:col>
      <xdr:colOff>139700</xdr:colOff>
      <xdr:row>28</xdr:row>
      <xdr:rowOff>114302</xdr:rowOff>
    </xdr:from>
    <xdr:to>
      <xdr:col>9</xdr:col>
      <xdr:colOff>138350</xdr:colOff>
      <xdr:row>45</xdr:row>
      <xdr:rowOff>154307</xdr:rowOff>
    </xdr:to>
    <mc:AlternateContent xmlns:mc="http://schemas.openxmlformats.org/markup-compatibility/2006">
      <mc:Choice xmlns:a14="http://schemas.microsoft.com/office/drawing/2010/main" Requires="a14">
        <xdr:graphicFrame macro="">
          <xdr:nvGraphicFramePr>
            <xdr:cNvPr id="21" name="Month">
              <a:extLst>
                <a:ext uri="{FF2B5EF4-FFF2-40B4-BE49-F238E27FC236}">
                  <a16:creationId xmlns:a16="http://schemas.microsoft.com/office/drawing/2014/main" id="{604755CB-9AC7-4D2B-9884-000AC44E12E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797300" y="5092702"/>
              <a:ext cx="1827450" cy="3062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177800</xdr:colOff>
      <xdr:row>19</xdr:row>
      <xdr:rowOff>152400</xdr:rowOff>
    </xdr:from>
    <xdr:to>
      <xdr:col>9</xdr:col>
      <xdr:colOff>133026</xdr:colOff>
      <xdr:row>27</xdr:row>
      <xdr:rowOff>50800</xdr:rowOff>
    </xdr:to>
    <mc:AlternateContent xmlns:mc="http://schemas.openxmlformats.org/markup-compatibility/2006">
      <mc:Choice xmlns:a14="http://schemas.microsoft.com/office/drawing/2010/main" Requires="a14">
        <xdr:graphicFrame macro="">
          <xdr:nvGraphicFramePr>
            <xdr:cNvPr id="22" name="Year">
              <a:extLst>
                <a:ext uri="{FF2B5EF4-FFF2-40B4-BE49-F238E27FC236}">
                  <a16:creationId xmlns:a16="http://schemas.microsoft.com/office/drawing/2014/main" id="{2F38395E-AB4D-4051-B5EA-B5347C5F32E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835400" y="3530600"/>
              <a:ext cx="1784026" cy="132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149146</xdr:colOff>
      <xdr:row>19</xdr:row>
      <xdr:rowOff>111961</xdr:rowOff>
    </xdr:from>
    <xdr:to>
      <xdr:col>20</xdr:col>
      <xdr:colOff>368300</xdr:colOff>
      <xdr:row>33</xdr:row>
      <xdr:rowOff>76200</xdr:rowOff>
    </xdr:to>
    <xdr:graphicFrame macro="">
      <xdr:nvGraphicFramePr>
        <xdr:cNvPr id="26" name="Chart 25">
          <a:extLst>
            <a:ext uri="{FF2B5EF4-FFF2-40B4-BE49-F238E27FC236}">
              <a16:creationId xmlns:a16="http://schemas.microsoft.com/office/drawing/2014/main" id="{4A9281DC-01FD-4EA6-8D66-3B960CFC1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76200</xdr:colOff>
      <xdr:row>19</xdr:row>
      <xdr:rowOff>114300</xdr:rowOff>
    </xdr:from>
    <xdr:to>
      <xdr:col>26</xdr:col>
      <xdr:colOff>190500</xdr:colOff>
      <xdr:row>33</xdr:row>
      <xdr:rowOff>114300</xdr:rowOff>
    </xdr:to>
    <xdr:graphicFrame macro="">
      <xdr:nvGraphicFramePr>
        <xdr:cNvPr id="27" name="Chart 26">
          <a:extLst>
            <a:ext uri="{FF2B5EF4-FFF2-40B4-BE49-F238E27FC236}">
              <a16:creationId xmlns:a16="http://schemas.microsoft.com/office/drawing/2014/main" id="{0B27C770-EA4B-4AE5-A2AD-17D2D162E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187246</xdr:colOff>
      <xdr:row>9</xdr:row>
      <xdr:rowOff>114300</xdr:rowOff>
    </xdr:from>
    <xdr:to>
      <xdr:col>13</xdr:col>
      <xdr:colOff>368221</xdr:colOff>
      <xdr:row>19</xdr:row>
      <xdr:rowOff>176695</xdr:rowOff>
    </xdr:to>
    <xdr:grpSp>
      <xdr:nvGrpSpPr>
        <xdr:cNvPr id="3115" name="Group 3114">
          <a:extLst>
            <a:ext uri="{FF2B5EF4-FFF2-40B4-BE49-F238E27FC236}">
              <a16:creationId xmlns:a16="http://schemas.microsoft.com/office/drawing/2014/main" id="{24733356-3BF0-401A-4DE0-43A301CF1DC3}"/>
            </a:ext>
          </a:extLst>
        </xdr:cNvPr>
        <xdr:cNvGrpSpPr/>
      </xdr:nvGrpSpPr>
      <xdr:grpSpPr>
        <a:xfrm>
          <a:off x="6283246" y="1714500"/>
          <a:ext cx="2009775" cy="1840395"/>
          <a:chOff x="6245146" y="1752600"/>
          <a:chExt cx="2009775" cy="1840395"/>
        </a:xfrm>
      </xdr:grpSpPr>
      <xdr:sp macro="" textlink="">
        <xdr:nvSpPr>
          <xdr:cNvPr id="11" name="Rectangle: Rounded Corners 10">
            <a:extLst>
              <a:ext uri="{FF2B5EF4-FFF2-40B4-BE49-F238E27FC236}">
                <a16:creationId xmlns:a16="http://schemas.microsoft.com/office/drawing/2014/main" id="{47B102C4-7ACA-4DB4-A60E-572BF11C20CA}"/>
              </a:ext>
            </a:extLst>
          </xdr:cNvPr>
          <xdr:cNvSpPr/>
        </xdr:nvSpPr>
        <xdr:spPr>
          <a:xfrm>
            <a:off x="6245146" y="2094142"/>
            <a:ext cx="2009775" cy="1173991"/>
          </a:xfrm>
          <a:prstGeom prst="roundRect">
            <a:avLst/>
          </a:prstGeom>
          <a:gradFill>
            <a:gsLst>
              <a:gs pos="13000">
                <a:srgbClr val="4BD0FF"/>
              </a:gs>
              <a:gs pos="100000">
                <a:srgbClr val="046A90"/>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aseline="0"/>
              <a:t>         </a:t>
            </a:r>
            <a:r>
              <a:rPr lang="en-IN" sz="1800" b="1">
                <a:solidFill>
                  <a:schemeClr val="tx1">
                    <a:lumMod val="65000"/>
                    <a:lumOff val="35000"/>
                  </a:schemeClr>
                </a:solidFill>
                <a:latin typeface="Aptos" panose="020B0004020202020204" pitchFamily="34" charset="0"/>
              </a:rPr>
              <a:t>Visitors</a:t>
            </a:r>
            <a:endParaRPr lang="ru-RU" sz="1800" b="1">
              <a:solidFill>
                <a:schemeClr val="tx1">
                  <a:lumMod val="65000"/>
                  <a:lumOff val="35000"/>
                </a:schemeClr>
              </a:solidFill>
              <a:latin typeface="Aptos" panose="020B0004020202020204" pitchFamily="34" charset="0"/>
            </a:endParaRPr>
          </a:p>
        </xdr:txBody>
      </xdr:sp>
      <xdr:pic>
        <xdr:nvPicPr>
          <xdr:cNvPr id="33" name="Graphic 32" descr="Users with solid fill">
            <a:extLst>
              <a:ext uri="{FF2B5EF4-FFF2-40B4-BE49-F238E27FC236}">
                <a16:creationId xmlns:a16="http://schemas.microsoft.com/office/drawing/2014/main" id="{39F3E7A2-9DB3-9875-8CA7-D9945B8B052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13500" y="1752600"/>
            <a:ext cx="1676400" cy="1840395"/>
          </a:xfrm>
          <a:prstGeom prst="rect">
            <a:avLst/>
          </a:prstGeom>
        </xdr:spPr>
      </xdr:pic>
      <xdr:sp macro="" textlink="Pivot!E22">
        <xdr:nvSpPr>
          <xdr:cNvPr id="28" name="TextBox 27">
            <a:extLst>
              <a:ext uri="{FF2B5EF4-FFF2-40B4-BE49-F238E27FC236}">
                <a16:creationId xmlns:a16="http://schemas.microsoft.com/office/drawing/2014/main" id="{51D167B5-256D-D46A-9B77-4364F0E84E04}"/>
              </a:ext>
            </a:extLst>
          </xdr:cNvPr>
          <xdr:cNvSpPr txBox="1"/>
        </xdr:nvSpPr>
        <xdr:spPr>
          <a:xfrm>
            <a:off x="6565900" y="2476500"/>
            <a:ext cx="1346200"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4A191B7-486A-4B3A-AE01-104926CAE6AB}" type="TxLink">
              <a:rPr lang="en-US" sz="3200" b="0" i="0" u="none" strike="noStrike">
                <a:solidFill>
                  <a:schemeClr val="bg1">
                    <a:lumMod val="85000"/>
                  </a:schemeClr>
                </a:solidFill>
                <a:latin typeface="Bahnschrift" panose="020B0502040204020203" pitchFamily="34" charset="0"/>
                <a:ea typeface="Calibri"/>
                <a:cs typeface="Calibri"/>
              </a:rPr>
              <a:t>14.98K</a:t>
            </a:fld>
            <a:endParaRPr lang="en-IN" sz="3200">
              <a:solidFill>
                <a:schemeClr val="bg1">
                  <a:lumMod val="85000"/>
                </a:schemeClr>
              </a:solidFill>
              <a:latin typeface="Bahnschrift" panose="020B0502040204020203" pitchFamily="34" charset="0"/>
            </a:endParaRPr>
          </a:p>
        </xdr:txBody>
      </xdr:sp>
    </xdr:grpSp>
    <xdr:clientData/>
  </xdr:twoCellAnchor>
  <xdr:twoCellAnchor>
    <xdr:from>
      <xdr:col>22</xdr:col>
      <xdr:colOff>479346</xdr:colOff>
      <xdr:row>11</xdr:row>
      <xdr:rowOff>76200</xdr:rowOff>
    </xdr:from>
    <xdr:to>
      <xdr:col>26</xdr:col>
      <xdr:colOff>50800</xdr:colOff>
      <xdr:row>19</xdr:row>
      <xdr:rowOff>50800</xdr:rowOff>
    </xdr:to>
    <xdr:grpSp>
      <xdr:nvGrpSpPr>
        <xdr:cNvPr id="3113" name="Group 3112">
          <a:extLst>
            <a:ext uri="{FF2B5EF4-FFF2-40B4-BE49-F238E27FC236}">
              <a16:creationId xmlns:a16="http://schemas.microsoft.com/office/drawing/2014/main" id="{8C6C263D-63F1-A3A9-E8E6-F7C288FB3841}"/>
            </a:ext>
          </a:extLst>
        </xdr:cNvPr>
        <xdr:cNvGrpSpPr/>
      </xdr:nvGrpSpPr>
      <xdr:grpSpPr>
        <a:xfrm>
          <a:off x="13890546" y="2032000"/>
          <a:ext cx="2009854" cy="1397000"/>
          <a:chOff x="13941346" y="2070100"/>
          <a:chExt cx="2009854" cy="1397000"/>
        </a:xfrm>
      </xdr:grpSpPr>
      <xdr:sp macro="" textlink="">
        <xdr:nvSpPr>
          <xdr:cNvPr id="12" name="Rectangle: Rounded Corners 11">
            <a:extLst>
              <a:ext uri="{FF2B5EF4-FFF2-40B4-BE49-F238E27FC236}">
                <a16:creationId xmlns:a16="http://schemas.microsoft.com/office/drawing/2014/main" id="{20CD5EC9-4635-4900-BA9B-4C5A1BD07388}"/>
              </a:ext>
            </a:extLst>
          </xdr:cNvPr>
          <xdr:cNvSpPr/>
        </xdr:nvSpPr>
        <xdr:spPr>
          <a:xfrm>
            <a:off x="13941346" y="2089403"/>
            <a:ext cx="2009775" cy="1181100"/>
          </a:xfrm>
          <a:prstGeom prst="roundRect">
            <a:avLst/>
          </a:prstGeom>
          <a:gradFill>
            <a:gsLst>
              <a:gs pos="0">
                <a:srgbClr val="00FFFF"/>
              </a:gs>
              <a:gs pos="97000">
                <a:srgbClr val="2384F9"/>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lumMod val="65000"/>
                    <a:lumOff val="35000"/>
                  </a:schemeClr>
                </a:solidFill>
                <a:latin typeface="Aptos" panose="020B0004020202020204" pitchFamily="34" charset="0"/>
                <a:ea typeface="+mn-ea"/>
                <a:cs typeface="+mn-cs"/>
              </a:rPr>
              <a:t>      Conversion</a:t>
            </a:r>
            <a:endParaRPr lang="ru-RU" sz="1800" b="1">
              <a:solidFill>
                <a:schemeClr val="tx1">
                  <a:lumMod val="65000"/>
                  <a:lumOff val="35000"/>
                </a:schemeClr>
              </a:solidFill>
              <a:latin typeface="Aptos" panose="020B0004020202020204" pitchFamily="34" charset="0"/>
              <a:ea typeface="+mn-ea"/>
              <a:cs typeface="+mn-cs"/>
            </a:endParaRPr>
          </a:p>
        </xdr:txBody>
      </xdr:sp>
      <xdr:sp macro="" textlink="Pivot!E26">
        <xdr:nvSpPr>
          <xdr:cNvPr id="38" name="TextBox 37">
            <a:extLst>
              <a:ext uri="{FF2B5EF4-FFF2-40B4-BE49-F238E27FC236}">
                <a16:creationId xmlns:a16="http://schemas.microsoft.com/office/drawing/2014/main" id="{15B3AAF4-151D-76F8-7051-15FEBAE34F4A}"/>
              </a:ext>
            </a:extLst>
          </xdr:cNvPr>
          <xdr:cNvSpPr txBox="1"/>
        </xdr:nvSpPr>
        <xdr:spPr>
          <a:xfrm>
            <a:off x="14526723" y="2488496"/>
            <a:ext cx="813621" cy="584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245CFD8C-F85A-403A-804D-B0190EE48B64}" type="TxLink">
              <a:rPr lang="en-US" sz="3200" b="0" i="0" u="none" strike="noStrike">
                <a:solidFill>
                  <a:schemeClr val="bg1">
                    <a:lumMod val="85000"/>
                  </a:schemeClr>
                </a:solidFill>
                <a:latin typeface="Bahnschrift" panose="020B0502040204020203" pitchFamily="34" charset="0"/>
                <a:ea typeface="Calibri"/>
                <a:cs typeface="Calibri"/>
              </a:rPr>
              <a:pPr marL="0" indent="0"/>
              <a:t>61%</a:t>
            </a:fld>
            <a:endParaRPr lang="en-IN" sz="3200" b="0" i="0" u="none" strike="noStrike">
              <a:solidFill>
                <a:schemeClr val="bg1">
                  <a:lumMod val="85000"/>
                </a:schemeClr>
              </a:solidFill>
              <a:latin typeface="Bahnschrift" panose="020B0502040204020203" pitchFamily="34" charset="0"/>
              <a:ea typeface="Calibri"/>
              <a:cs typeface="Calibri"/>
            </a:endParaRPr>
          </a:p>
        </xdr:txBody>
      </xdr:sp>
      <xdr:pic>
        <xdr:nvPicPr>
          <xdr:cNvPr id="42" name="Graphic 41" descr="Transfer with solid fill">
            <a:extLst>
              <a:ext uri="{FF2B5EF4-FFF2-40B4-BE49-F238E27FC236}">
                <a16:creationId xmlns:a16="http://schemas.microsoft.com/office/drawing/2014/main" id="{85C294A3-A822-0CBB-5FCF-228C5E77D4B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008100" y="2070100"/>
            <a:ext cx="1943100" cy="1397000"/>
          </a:xfrm>
          <a:prstGeom prst="rect">
            <a:avLst/>
          </a:prstGeom>
        </xdr:spPr>
      </xdr:pic>
    </xdr:grpSp>
    <xdr:clientData/>
  </xdr:twoCellAnchor>
  <xdr:twoCellAnchor>
    <xdr:from>
      <xdr:col>8</xdr:col>
      <xdr:colOff>152400</xdr:colOff>
      <xdr:row>36</xdr:row>
      <xdr:rowOff>63500</xdr:rowOff>
    </xdr:from>
    <xdr:to>
      <xdr:col>19</xdr:col>
      <xdr:colOff>393700</xdr:colOff>
      <xdr:row>52</xdr:row>
      <xdr:rowOff>88901</xdr:rowOff>
    </xdr:to>
    <xdr:graphicFrame macro="">
      <xdr:nvGraphicFramePr>
        <xdr:cNvPr id="53" name="Chart 52">
          <a:extLst>
            <a:ext uri="{FF2B5EF4-FFF2-40B4-BE49-F238E27FC236}">
              <a16:creationId xmlns:a16="http://schemas.microsoft.com/office/drawing/2014/main" id="{A64619FE-9D1F-44DE-A610-D97256697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10</xdr:col>
      <xdr:colOff>419100</xdr:colOff>
      <xdr:row>45</xdr:row>
      <xdr:rowOff>76200</xdr:rowOff>
    </xdr:from>
    <xdr:ext cx="899926" cy="264560"/>
    <xdr:sp macro="" textlink="">
      <xdr:nvSpPr>
        <xdr:cNvPr id="3074" name="TextBox 3073">
          <a:extLst>
            <a:ext uri="{FF2B5EF4-FFF2-40B4-BE49-F238E27FC236}">
              <a16:creationId xmlns:a16="http://schemas.microsoft.com/office/drawing/2014/main" id="{A87F736B-FD38-5B03-9B46-BE748D23F9EE}"/>
            </a:ext>
          </a:extLst>
        </xdr:cNvPr>
        <xdr:cNvSpPr txBox="1"/>
      </xdr:nvSpPr>
      <xdr:spPr>
        <a:xfrm>
          <a:off x="6515100" y="8077200"/>
          <a:ext cx="899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Project Start</a:t>
          </a:r>
        </a:p>
      </xdr:txBody>
    </xdr:sp>
    <xdr:clientData/>
  </xdr:oneCellAnchor>
  <xdr:oneCellAnchor>
    <xdr:from>
      <xdr:col>12</xdr:col>
      <xdr:colOff>101601</xdr:colOff>
      <xdr:row>34</xdr:row>
      <xdr:rowOff>165100</xdr:rowOff>
    </xdr:from>
    <xdr:ext cx="1231900" cy="374141"/>
    <xdr:sp macro="" textlink="">
      <xdr:nvSpPr>
        <xdr:cNvPr id="3075" name="TextBox 3074">
          <a:extLst>
            <a:ext uri="{FF2B5EF4-FFF2-40B4-BE49-F238E27FC236}">
              <a16:creationId xmlns:a16="http://schemas.microsoft.com/office/drawing/2014/main" id="{4B97DFF2-8D6A-709A-591F-2B3C27499D74}"/>
            </a:ext>
          </a:extLst>
        </xdr:cNvPr>
        <xdr:cNvSpPr txBox="1"/>
      </xdr:nvSpPr>
      <xdr:spPr>
        <a:xfrm>
          <a:off x="7416801" y="6210300"/>
          <a:ext cx="12319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a:latin typeface="Aptos" panose="020B0004020202020204" pitchFamily="34" charset="0"/>
            </a:rPr>
            <a:t>Roadmap</a:t>
          </a:r>
        </a:p>
      </xdr:txBody>
    </xdr:sp>
    <xdr:clientData/>
  </xdr:oneCellAnchor>
  <xdr:oneCellAnchor>
    <xdr:from>
      <xdr:col>14</xdr:col>
      <xdr:colOff>342900</xdr:colOff>
      <xdr:row>36</xdr:row>
      <xdr:rowOff>38100</xdr:rowOff>
    </xdr:from>
    <xdr:ext cx="665310" cy="419602"/>
    <xdr:sp macro="" textlink="">
      <xdr:nvSpPr>
        <xdr:cNvPr id="3076" name="TextBox 3075">
          <a:extLst>
            <a:ext uri="{FF2B5EF4-FFF2-40B4-BE49-F238E27FC236}">
              <a16:creationId xmlns:a16="http://schemas.microsoft.com/office/drawing/2014/main" id="{03926655-B39A-D3F3-A267-A72DDF8C30A1}"/>
            </a:ext>
          </a:extLst>
        </xdr:cNvPr>
        <xdr:cNvSpPr txBox="1"/>
      </xdr:nvSpPr>
      <xdr:spPr>
        <a:xfrm>
          <a:off x="8877300" y="6438900"/>
          <a:ext cx="665310" cy="419602"/>
        </a:xfrm>
        <a:prstGeom prst="rect">
          <a:avLst/>
        </a:prstGeom>
        <a:noFill/>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0">
              <a:latin typeface="Bahnschrift" panose="020B0502040204020203" pitchFamily="34" charset="0"/>
            </a:rPr>
            <a:t>75</a:t>
          </a:r>
          <a:r>
            <a:rPr lang="en-IN" sz="2000" b="0">
              <a:latin typeface="Aptos" panose="020B0004020202020204" pitchFamily="34" charset="0"/>
            </a:rPr>
            <a:t>%</a:t>
          </a:r>
        </a:p>
      </xdr:txBody>
    </xdr:sp>
    <xdr:clientData/>
  </xdr:oneCellAnchor>
  <xdr:twoCellAnchor>
    <xdr:from>
      <xdr:col>16</xdr:col>
      <xdr:colOff>419100</xdr:colOff>
      <xdr:row>36</xdr:row>
      <xdr:rowOff>114300</xdr:rowOff>
    </xdr:from>
    <xdr:to>
      <xdr:col>20</xdr:col>
      <xdr:colOff>165100</xdr:colOff>
      <xdr:row>46</xdr:row>
      <xdr:rowOff>25400</xdr:rowOff>
    </xdr:to>
    <xdr:grpSp>
      <xdr:nvGrpSpPr>
        <xdr:cNvPr id="3093" name="Group 3092">
          <a:extLst>
            <a:ext uri="{FF2B5EF4-FFF2-40B4-BE49-F238E27FC236}">
              <a16:creationId xmlns:a16="http://schemas.microsoft.com/office/drawing/2014/main" id="{441B1E06-C71C-149E-3C9C-0C3CAFB70264}"/>
            </a:ext>
          </a:extLst>
        </xdr:cNvPr>
        <xdr:cNvGrpSpPr/>
      </xdr:nvGrpSpPr>
      <xdr:grpSpPr>
        <a:xfrm>
          <a:off x="10172700" y="6515100"/>
          <a:ext cx="2184400" cy="1689100"/>
          <a:chOff x="10147300" y="6354100"/>
          <a:chExt cx="2184400" cy="1964400"/>
        </a:xfrm>
        <a:gradFill flip="none" rotWithShape="1">
          <a:gsLst>
            <a:gs pos="40000">
              <a:schemeClr val="accent2">
                <a:lumMod val="60000"/>
                <a:lumOff val="40000"/>
              </a:schemeClr>
            </a:gs>
            <a:gs pos="0">
              <a:srgbClr val="00B0F0"/>
            </a:gs>
            <a:gs pos="100000">
              <a:srgbClr val="00B0F0"/>
            </a:gs>
          </a:gsLst>
          <a:lin ang="0" scaled="1"/>
          <a:tileRect/>
        </a:gradFill>
        <a:effectLst>
          <a:outerShdw blurRad="50800" dist="38100" dir="2700000" algn="tl" rotWithShape="0">
            <a:schemeClr val="tx1">
              <a:lumMod val="95000"/>
              <a:lumOff val="5000"/>
              <a:alpha val="33000"/>
            </a:schemeClr>
          </a:outerShdw>
        </a:effectLst>
      </xdr:grpSpPr>
      <xdr:sp macro="" textlink="">
        <xdr:nvSpPr>
          <xdr:cNvPr id="3077" name="Trapezoid 3076">
            <a:extLst>
              <a:ext uri="{FF2B5EF4-FFF2-40B4-BE49-F238E27FC236}">
                <a16:creationId xmlns:a16="http://schemas.microsoft.com/office/drawing/2014/main" id="{40327489-B840-7478-651C-6F059AB9A4FB}"/>
              </a:ext>
            </a:extLst>
          </xdr:cNvPr>
          <xdr:cNvSpPr/>
        </xdr:nvSpPr>
        <xdr:spPr>
          <a:xfrm rot="10800000">
            <a:off x="10147300" y="6354100"/>
            <a:ext cx="2184400" cy="288000"/>
          </a:xfrm>
          <a:prstGeom prst="trapezoid">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78" name="Trapezoid 3077">
            <a:extLst>
              <a:ext uri="{FF2B5EF4-FFF2-40B4-BE49-F238E27FC236}">
                <a16:creationId xmlns:a16="http://schemas.microsoft.com/office/drawing/2014/main" id="{C6F514A6-B4C8-47C9-B537-3EF3B97B52C9}"/>
              </a:ext>
            </a:extLst>
          </xdr:cNvPr>
          <xdr:cNvSpPr/>
        </xdr:nvSpPr>
        <xdr:spPr>
          <a:xfrm rot="10800000">
            <a:off x="10267950" y="6779546"/>
            <a:ext cx="1924050" cy="288000"/>
          </a:xfrm>
          <a:prstGeom prst="trapezoid">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079" name="Trapezoid 3078">
            <a:extLst>
              <a:ext uri="{FF2B5EF4-FFF2-40B4-BE49-F238E27FC236}">
                <a16:creationId xmlns:a16="http://schemas.microsoft.com/office/drawing/2014/main" id="{FB529129-B3E6-4C42-97A8-E17217D721D2}"/>
              </a:ext>
            </a:extLst>
          </xdr:cNvPr>
          <xdr:cNvSpPr/>
        </xdr:nvSpPr>
        <xdr:spPr>
          <a:xfrm rot="10800000">
            <a:off x="10375900" y="7192298"/>
            <a:ext cx="1714500" cy="288000"/>
          </a:xfrm>
          <a:prstGeom prst="trapezoid">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080" name="Trapezoid 3079">
            <a:extLst>
              <a:ext uri="{FF2B5EF4-FFF2-40B4-BE49-F238E27FC236}">
                <a16:creationId xmlns:a16="http://schemas.microsoft.com/office/drawing/2014/main" id="{DE6E1AAB-B764-4C2B-B816-319ED5B7DE60}"/>
              </a:ext>
            </a:extLst>
          </xdr:cNvPr>
          <xdr:cNvSpPr/>
        </xdr:nvSpPr>
        <xdr:spPr>
          <a:xfrm rot="10800000">
            <a:off x="10471150" y="7598700"/>
            <a:ext cx="1492250" cy="288000"/>
          </a:xfrm>
          <a:prstGeom prst="trapezoid">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081" name="Trapezoid 3080">
            <a:extLst>
              <a:ext uri="{FF2B5EF4-FFF2-40B4-BE49-F238E27FC236}">
                <a16:creationId xmlns:a16="http://schemas.microsoft.com/office/drawing/2014/main" id="{5479034A-A98D-44C1-9831-2198901F16CB}"/>
              </a:ext>
            </a:extLst>
          </xdr:cNvPr>
          <xdr:cNvSpPr/>
        </xdr:nvSpPr>
        <xdr:spPr>
          <a:xfrm rot="10800000">
            <a:off x="10590174" y="8030500"/>
            <a:ext cx="1258926" cy="288000"/>
          </a:xfrm>
          <a:prstGeom prst="trapezoid">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16</xdr:col>
      <xdr:colOff>203200</xdr:colOff>
      <xdr:row>35</xdr:row>
      <xdr:rowOff>12700</xdr:rowOff>
    </xdr:from>
    <xdr:ext cx="939800" cy="215900"/>
    <xdr:sp macro="" textlink="">
      <xdr:nvSpPr>
        <xdr:cNvPr id="3094" name="TextBox 3093">
          <a:extLst>
            <a:ext uri="{FF2B5EF4-FFF2-40B4-BE49-F238E27FC236}">
              <a16:creationId xmlns:a16="http://schemas.microsoft.com/office/drawing/2014/main" id="{D61E7DC5-AB4B-C431-37A6-9E5CD4180711}"/>
            </a:ext>
          </a:extLst>
        </xdr:cNvPr>
        <xdr:cNvSpPr txBox="1"/>
      </xdr:nvSpPr>
      <xdr:spPr>
        <a:xfrm>
          <a:off x="9956800" y="6235700"/>
          <a:ext cx="939800" cy="21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latin typeface="Aptos" panose="020B0004020202020204" pitchFamily="34" charset="0"/>
            </a:rPr>
            <a:t>Sales Funnel       </a:t>
          </a:r>
          <a:r>
            <a:rPr lang="en-IN" sz="1100" baseline="0"/>
            <a:t>      </a:t>
          </a:r>
          <a:endParaRPr lang="en-IN" sz="1100" b="1"/>
        </a:p>
      </xdr:txBody>
    </xdr:sp>
    <xdr:clientData/>
  </xdr:oneCellAnchor>
  <xdr:oneCellAnchor>
    <xdr:from>
      <xdr:col>18</xdr:col>
      <xdr:colOff>38100</xdr:colOff>
      <xdr:row>46</xdr:row>
      <xdr:rowOff>0</xdr:rowOff>
    </xdr:from>
    <xdr:ext cx="505844" cy="279400"/>
    <xdr:sp macro="" textlink="Pivot!D35">
      <xdr:nvSpPr>
        <xdr:cNvPr id="3095" name="TextBox 3094">
          <a:extLst>
            <a:ext uri="{FF2B5EF4-FFF2-40B4-BE49-F238E27FC236}">
              <a16:creationId xmlns:a16="http://schemas.microsoft.com/office/drawing/2014/main" id="{AF703702-9326-C6EB-7CC5-069127F7D4CB}"/>
            </a:ext>
          </a:extLst>
        </xdr:cNvPr>
        <xdr:cNvSpPr txBox="1"/>
      </xdr:nvSpPr>
      <xdr:spPr>
        <a:xfrm>
          <a:off x="11010900" y="8178800"/>
          <a:ext cx="505844" cy="27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5735C48-B597-47D0-9677-D34CC86465AA}" type="TxLink">
            <a:rPr lang="en-US" sz="1400" b="0" i="0" u="none" strike="noStrike">
              <a:solidFill>
                <a:srgbClr val="000000"/>
              </a:solidFill>
              <a:latin typeface="Calibri"/>
              <a:ea typeface="Calibri"/>
              <a:cs typeface="Calibri"/>
            </a:rPr>
            <a:t>6.0K</a:t>
          </a:fld>
          <a:endParaRPr lang="en-IN" sz="1400" b="0">
            <a:latin typeface="Bahnschrift" panose="020B0502040204020203" pitchFamily="34" charset="0"/>
          </a:endParaRPr>
        </a:p>
      </xdr:txBody>
    </xdr:sp>
    <xdr:clientData/>
  </xdr:oneCellAnchor>
  <xdr:twoCellAnchor>
    <xdr:from>
      <xdr:col>20</xdr:col>
      <xdr:colOff>50800</xdr:colOff>
      <xdr:row>41</xdr:row>
      <xdr:rowOff>25400</xdr:rowOff>
    </xdr:from>
    <xdr:to>
      <xdr:col>20</xdr:col>
      <xdr:colOff>406400</xdr:colOff>
      <xdr:row>42</xdr:row>
      <xdr:rowOff>76200</xdr:rowOff>
    </xdr:to>
    <xdr:sp macro="" textlink="Pivot!D36">
      <xdr:nvSpPr>
        <xdr:cNvPr id="3099" name="Text Box 5">
          <a:extLst>
            <a:ext uri="{FF2B5EF4-FFF2-40B4-BE49-F238E27FC236}">
              <a16:creationId xmlns:a16="http://schemas.microsoft.com/office/drawing/2014/main" id="{F4506546-FA88-1C13-230B-75B4B4FA8139}"/>
            </a:ext>
          </a:extLst>
        </xdr:cNvPr>
        <xdr:cNvSpPr txBox="1">
          <a:spLocks noChangeArrowheads="1"/>
        </xdr:cNvSpPr>
      </xdr:nvSpPr>
      <xdr:spPr bwMode="auto">
        <a:xfrm>
          <a:off x="12242800" y="7315200"/>
          <a:ext cx="355600" cy="228600"/>
        </a:xfrm>
        <a:prstGeom prst="rect">
          <a:avLst/>
        </a:prstGeom>
        <a:noFill/>
        <a:ln w="9525">
          <a:noFill/>
          <a:miter lim="800000"/>
          <a:headEnd/>
          <a:tailEnd/>
        </a:ln>
      </xdr:spPr>
      <xdr:txBody>
        <a:bodyPr vertOverflow="clip" wrap="square" lIns="27432" tIns="18288" rIns="0" bIns="0" anchor="t" upright="1"/>
        <a:lstStyle/>
        <a:p>
          <a:pPr algn="l" rtl="0">
            <a:defRPr sz="1000"/>
          </a:pPr>
          <a:fld id="{5DAE1FE2-CBF3-439A-BF14-E907621B65A8}" type="TxLink">
            <a:rPr lang="en-US" sz="1400" b="0" i="0" u="none" strike="noStrike" baseline="0">
              <a:solidFill>
                <a:srgbClr val="000000"/>
              </a:solidFill>
              <a:latin typeface="Calibri"/>
              <a:ea typeface="Calibri"/>
              <a:cs typeface="Calibri"/>
            </a:rPr>
            <a:t>40%</a:t>
          </a:fld>
          <a:endParaRPr lang="en-IN" sz="1400" b="0" i="0" u="none" strike="noStrike" baseline="0">
            <a:solidFill>
              <a:srgbClr val="000000"/>
            </a:solidFill>
            <a:latin typeface="Calibri"/>
            <a:ea typeface="Calibri"/>
            <a:cs typeface="Calibri"/>
          </a:endParaRPr>
        </a:p>
      </xdr:txBody>
    </xdr:sp>
    <xdr:clientData/>
  </xdr:twoCellAnchor>
  <xdr:oneCellAnchor>
    <xdr:from>
      <xdr:col>17</xdr:col>
      <xdr:colOff>558800</xdr:colOff>
      <xdr:row>35</xdr:row>
      <xdr:rowOff>12700</xdr:rowOff>
    </xdr:from>
    <xdr:ext cx="542136" cy="228600"/>
    <xdr:sp macro="" textlink="Pivot!D32">
      <xdr:nvSpPr>
        <xdr:cNvPr id="3100" name="TextBox 3099">
          <a:extLst>
            <a:ext uri="{FF2B5EF4-FFF2-40B4-BE49-F238E27FC236}">
              <a16:creationId xmlns:a16="http://schemas.microsoft.com/office/drawing/2014/main" id="{77BCB16D-9E63-A891-35AF-A29AA6A3B999}"/>
            </a:ext>
          </a:extLst>
        </xdr:cNvPr>
        <xdr:cNvSpPr txBox="1"/>
      </xdr:nvSpPr>
      <xdr:spPr>
        <a:xfrm>
          <a:off x="10922000" y="6235700"/>
          <a:ext cx="542136"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3611BC6B-BF50-47EB-8D8B-D8F8785184A4}" type="TxLink">
            <a:rPr lang="en-US" sz="1400" b="0" i="0" u="none" strike="noStrike">
              <a:solidFill>
                <a:srgbClr val="000000"/>
              </a:solidFill>
              <a:latin typeface="Calibri"/>
              <a:ea typeface="Calibri"/>
              <a:cs typeface="Calibri"/>
            </a:rPr>
            <a:t>15.0K</a:t>
          </a:fld>
          <a:endParaRPr lang="en-IN" sz="1400"/>
        </a:p>
      </xdr:txBody>
    </xdr:sp>
    <xdr:clientData/>
  </xdr:oneCellAnchor>
  <xdr:twoCellAnchor>
    <xdr:from>
      <xdr:col>14</xdr:col>
      <xdr:colOff>276146</xdr:colOff>
      <xdr:row>11</xdr:row>
      <xdr:rowOff>85173</xdr:rowOff>
    </xdr:from>
    <xdr:to>
      <xdr:col>17</xdr:col>
      <xdr:colOff>482600</xdr:colOff>
      <xdr:row>18</xdr:row>
      <xdr:rowOff>25400</xdr:rowOff>
    </xdr:to>
    <xdr:grpSp>
      <xdr:nvGrpSpPr>
        <xdr:cNvPr id="3114" name="Group 3113">
          <a:extLst>
            <a:ext uri="{FF2B5EF4-FFF2-40B4-BE49-F238E27FC236}">
              <a16:creationId xmlns:a16="http://schemas.microsoft.com/office/drawing/2014/main" id="{08C2A9A0-21B4-80FA-FB7D-38AE82F61956}"/>
            </a:ext>
          </a:extLst>
        </xdr:cNvPr>
        <xdr:cNvGrpSpPr/>
      </xdr:nvGrpSpPr>
      <xdr:grpSpPr>
        <a:xfrm>
          <a:off x="8810546" y="2040973"/>
          <a:ext cx="2035254" cy="1184827"/>
          <a:chOff x="8658146" y="2091773"/>
          <a:chExt cx="2035254" cy="1184827"/>
        </a:xfrm>
      </xdr:grpSpPr>
      <xdr:sp macro="" textlink="">
        <xdr:nvSpPr>
          <xdr:cNvPr id="10" name="Rectangle: Rounded Corners 9">
            <a:extLst>
              <a:ext uri="{FF2B5EF4-FFF2-40B4-BE49-F238E27FC236}">
                <a16:creationId xmlns:a16="http://schemas.microsoft.com/office/drawing/2014/main" id="{22B111AD-7308-4853-9B62-D08BA268A9C8}"/>
              </a:ext>
            </a:extLst>
          </xdr:cNvPr>
          <xdr:cNvSpPr/>
        </xdr:nvSpPr>
        <xdr:spPr>
          <a:xfrm>
            <a:off x="8658146" y="2091773"/>
            <a:ext cx="2009775" cy="1181100"/>
          </a:xfrm>
          <a:prstGeom prst="roundRect">
            <a:avLst/>
          </a:prstGeom>
          <a:gradFill>
            <a:gsLst>
              <a:gs pos="0">
                <a:srgbClr val="0BA9A5"/>
              </a:gs>
              <a:gs pos="100000">
                <a:srgbClr val="046A90"/>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Aptos" panose="020B0004020202020204" pitchFamily="34" charset="0"/>
              </a:rPr>
              <a:t>          </a:t>
            </a:r>
            <a:r>
              <a:rPr lang="en-IN" sz="1800" b="1">
                <a:solidFill>
                  <a:schemeClr val="tx1">
                    <a:lumMod val="65000"/>
                    <a:lumOff val="35000"/>
                  </a:schemeClr>
                </a:solidFill>
                <a:latin typeface="Aptos" panose="020B0004020202020204" pitchFamily="34" charset="0"/>
                <a:ea typeface="+mn-ea"/>
                <a:cs typeface="+mn-cs"/>
              </a:rPr>
              <a:t>Orders</a:t>
            </a:r>
            <a:endParaRPr lang="ru-RU" sz="1800" b="1">
              <a:solidFill>
                <a:schemeClr val="tx1">
                  <a:lumMod val="65000"/>
                  <a:lumOff val="35000"/>
                </a:schemeClr>
              </a:solidFill>
              <a:latin typeface="Aptos" panose="020B0004020202020204" pitchFamily="34" charset="0"/>
              <a:ea typeface="+mn-ea"/>
              <a:cs typeface="+mn-cs"/>
            </a:endParaRPr>
          </a:p>
        </xdr:txBody>
      </xdr:sp>
      <xdr:sp macro="" textlink="Pivot!E24">
        <xdr:nvSpPr>
          <xdr:cNvPr id="34" name="TextBox 33">
            <a:extLst>
              <a:ext uri="{FF2B5EF4-FFF2-40B4-BE49-F238E27FC236}">
                <a16:creationId xmlns:a16="http://schemas.microsoft.com/office/drawing/2014/main" id="{FAD0E637-9654-CA2F-78E8-39623551A0E2}"/>
              </a:ext>
            </a:extLst>
          </xdr:cNvPr>
          <xdr:cNvSpPr txBox="1"/>
        </xdr:nvSpPr>
        <xdr:spPr>
          <a:xfrm>
            <a:off x="9296400" y="2476500"/>
            <a:ext cx="800100" cy="622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480F3802-FC7E-41DE-868A-269763300D47}" type="TxLink">
              <a:rPr lang="en-US" sz="3200" b="0" i="0" u="none" strike="noStrike">
                <a:solidFill>
                  <a:schemeClr val="bg1">
                    <a:lumMod val="85000"/>
                  </a:schemeClr>
                </a:solidFill>
                <a:latin typeface="Bahnschrift" panose="020B0502040204020203" pitchFamily="34" charset="0"/>
                <a:ea typeface="Calibri"/>
                <a:cs typeface="Calibri"/>
              </a:rPr>
              <a:pPr marL="0" indent="0"/>
              <a:t>15K</a:t>
            </a:fld>
            <a:endParaRPr lang="en-IN" sz="3200" b="0" i="0" u="none" strike="noStrike">
              <a:solidFill>
                <a:schemeClr val="bg1">
                  <a:lumMod val="85000"/>
                </a:schemeClr>
              </a:solidFill>
              <a:latin typeface="Bahnschrift" panose="020B0502040204020203" pitchFamily="34" charset="0"/>
              <a:ea typeface="Calibri"/>
              <a:cs typeface="Calibri"/>
            </a:endParaRPr>
          </a:p>
        </xdr:txBody>
      </xdr:sp>
      <xdr:pic>
        <xdr:nvPicPr>
          <xdr:cNvPr id="36" name="Graphic 35" descr="Shopping cart with solid fill">
            <a:extLst>
              <a:ext uri="{FF2B5EF4-FFF2-40B4-BE49-F238E27FC236}">
                <a16:creationId xmlns:a16="http://schemas.microsoft.com/office/drawing/2014/main" id="{AF609D72-3D69-F5D4-642F-3A754C0026C2}"/>
              </a:ext>
            </a:extLst>
          </xdr:cNvPr>
          <xdr:cNvPicPr>
            <a:picLocks noChangeAspect="1"/>
          </xdr:cNvPicPr>
        </xdr:nvPicPr>
        <xdr:blipFill>
          <a:blip xmlns:r="http://schemas.openxmlformats.org/officeDocument/2006/relationships" r:embed="rId8">
            <a:alphaModFix amt="41000"/>
            <a:extLst>
              <a:ext uri="{96DAC541-7B7A-43D3-8B79-37D633B846F1}">
                <asvg:svgBlip xmlns:asvg="http://schemas.microsoft.com/office/drawing/2016/SVG/main" r:embed="rId9"/>
              </a:ext>
            </a:extLst>
          </a:blip>
          <a:stretch>
            <a:fillRect/>
          </a:stretch>
        </xdr:blipFill>
        <xdr:spPr>
          <a:xfrm flipH="1">
            <a:off x="9550400" y="2133600"/>
            <a:ext cx="1143000" cy="1143000"/>
          </a:xfrm>
          <a:prstGeom prst="rect">
            <a:avLst/>
          </a:prstGeom>
        </xdr:spPr>
      </xdr:pic>
    </xdr:grpSp>
    <xdr:clientData/>
  </xdr:twoCellAnchor>
  <xdr:twoCellAnchor>
    <xdr:from>
      <xdr:col>18</xdr:col>
      <xdr:colOff>403146</xdr:colOff>
      <xdr:row>11</xdr:row>
      <xdr:rowOff>80433</xdr:rowOff>
    </xdr:from>
    <xdr:to>
      <xdr:col>21</xdr:col>
      <xdr:colOff>596900</xdr:colOff>
      <xdr:row>18</xdr:row>
      <xdr:rowOff>16933</xdr:rowOff>
    </xdr:to>
    <xdr:grpSp>
      <xdr:nvGrpSpPr>
        <xdr:cNvPr id="3116" name="Group 3115">
          <a:extLst>
            <a:ext uri="{FF2B5EF4-FFF2-40B4-BE49-F238E27FC236}">
              <a16:creationId xmlns:a16="http://schemas.microsoft.com/office/drawing/2014/main" id="{D349B32B-04AC-6974-A54B-13C90D70B5F5}"/>
            </a:ext>
          </a:extLst>
        </xdr:cNvPr>
        <xdr:cNvGrpSpPr/>
      </xdr:nvGrpSpPr>
      <xdr:grpSpPr>
        <a:xfrm>
          <a:off x="11375946" y="2036233"/>
          <a:ext cx="2022554" cy="1181100"/>
          <a:chOff x="11223546" y="2087033"/>
          <a:chExt cx="2022554" cy="1181100"/>
        </a:xfrm>
      </xdr:grpSpPr>
      <xdr:sp macro="" textlink="">
        <xdr:nvSpPr>
          <xdr:cNvPr id="8" name="Rectangle: Rounded Corners 7">
            <a:extLst>
              <a:ext uri="{FF2B5EF4-FFF2-40B4-BE49-F238E27FC236}">
                <a16:creationId xmlns:a16="http://schemas.microsoft.com/office/drawing/2014/main" id="{BE7CB9FF-4706-4872-8B6C-DC1E3F4F81F6}"/>
              </a:ext>
            </a:extLst>
          </xdr:cNvPr>
          <xdr:cNvSpPr/>
        </xdr:nvSpPr>
        <xdr:spPr>
          <a:xfrm>
            <a:off x="11223546" y="2087033"/>
            <a:ext cx="2009775" cy="118110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lumMod val="65000"/>
                    <a:lumOff val="35000"/>
                  </a:schemeClr>
                </a:solidFill>
                <a:latin typeface="Aptos" panose="020B0004020202020204" pitchFamily="34" charset="0"/>
                <a:ea typeface="+mn-ea"/>
                <a:cs typeface="+mn-cs"/>
              </a:rPr>
              <a:t>        </a:t>
            </a:r>
            <a:r>
              <a:rPr lang="en-IN" sz="1800" b="1">
                <a:solidFill>
                  <a:schemeClr val="bg1">
                    <a:lumMod val="65000"/>
                  </a:schemeClr>
                </a:solidFill>
                <a:latin typeface="Aptos" panose="020B0004020202020204" pitchFamily="34" charset="0"/>
                <a:ea typeface="+mn-ea"/>
                <a:cs typeface="+mn-cs"/>
              </a:rPr>
              <a:t>Revenue</a:t>
            </a:r>
            <a:endParaRPr lang="ru-RU" sz="1800" b="1">
              <a:solidFill>
                <a:schemeClr val="bg1">
                  <a:lumMod val="65000"/>
                </a:schemeClr>
              </a:solidFill>
              <a:latin typeface="Aptos" panose="020B0004020202020204" pitchFamily="34" charset="0"/>
              <a:ea typeface="+mn-ea"/>
              <a:cs typeface="+mn-cs"/>
            </a:endParaRPr>
          </a:p>
        </xdr:txBody>
      </xdr:sp>
      <xdr:sp macro="" textlink="Pivot!E28">
        <xdr:nvSpPr>
          <xdr:cNvPr id="37" name="TextBox 36">
            <a:extLst>
              <a:ext uri="{FF2B5EF4-FFF2-40B4-BE49-F238E27FC236}">
                <a16:creationId xmlns:a16="http://schemas.microsoft.com/office/drawing/2014/main" id="{3C6E442D-F26C-C8C6-DB39-A5C05369A4BF}"/>
              </a:ext>
            </a:extLst>
          </xdr:cNvPr>
          <xdr:cNvSpPr txBox="1"/>
        </xdr:nvSpPr>
        <xdr:spPr>
          <a:xfrm>
            <a:off x="11607800" y="2476500"/>
            <a:ext cx="1346200" cy="55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C64B5F68-388D-4108-B355-8A6D6674749D}" type="TxLink">
              <a:rPr lang="en-US" sz="3200" b="0" i="0" u="none" strike="noStrike">
                <a:solidFill>
                  <a:schemeClr val="bg1">
                    <a:lumMod val="85000"/>
                  </a:schemeClr>
                </a:solidFill>
                <a:latin typeface="Bahnschrift" panose="020B0502040204020203" pitchFamily="34" charset="0"/>
                <a:ea typeface="Calibri"/>
                <a:cs typeface="Calibri"/>
              </a:rPr>
              <a:pPr marL="0" indent="0"/>
              <a:t>27.3Cr</a:t>
            </a:fld>
            <a:endParaRPr lang="en-IN" sz="3200" b="0" i="0" u="none" strike="noStrike">
              <a:solidFill>
                <a:schemeClr val="bg1">
                  <a:lumMod val="85000"/>
                </a:schemeClr>
              </a:solidFill>
              <a:latin typeface="Bahnschrift" panose="020B0502040204020203" pitchFamily="34" charset="0"/>
              <a:ea typeface="Calibri"/>
              <a:cs typeface="Calibri"/>
            </a:endParaRPr>
          </a:p>
        </xdr:txBody>
      </xdr:sp>
      <xdr:pic>
        <xdr:nvPicPr>
          <xdr:cNvPr id="3103" name="Graphic 3102" descr="Money with solid fill">
            <a:extLst>
              <a:ext uri="{FF2B5EF4-FFF2-40B4-BE49-F238E27FC236}">
                <a16:creationId xmlns:a16="http://schemas.microsoft.com/office/drawing/2014/main" id="{E4E765DD-2B0A-B50D-5217-6C7B4433208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192000" y="2197100"/>
            <a:ext cx="1054100" cy="1054100"/>
          </a:xfrm>
          <a:prstGeom prst="rect">
            <a:avLst/>
          </a:prstGeom>
        </xdr:spPr>
      </xdr:pic>
    </xdr:grpSp>
    <xdr:clientData/>
  </xdr:twoCellAnchor>
  <xdr:oneCellAnchor>
    <xdr:from>
      <xdr:col>21</xdr:col>
      <xdr:colOff>215900</xdr:colOff>
      <xdr:row>37</xdr:row>
      <xdr:rowOff>127000</xdr:rowOff>
    </xdr:from>
    <xdr:ext cx="1060611" cy="530658"/>
    <xdr:sp macro="" textlink="">
      <xdr:nvSpPr>
        <xdr:cNvPr id="3104" name="TextBox 3103">
          <a:extLst>
            <a:ext uri="{FF2B5EF4-FFF2-40B4-BE49-F238E27FC236}">
              <a16:creationId xmlns:a16="http://schemas.microsoft.com/office/drawing/2014/main" id="{A862B455-D7D0-9339-A51B-D5C2B33B8AC8}"/>
            </a:ext>
          </a:extLst>
        </xdr:cNvPr>
        <xdr:cNvSpPr txBox="1"/>
      </xdr:nvSpPr>
      <xdr:spPr>
        <a:xfrm>
          <a:off x="13017500" y="6705600"/>
          <a:ext cx="106061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latin typeface="Aptos" panose="020B0004020202020204" pitchFamily="34" charset="0"/>
            </a:rPr>
            <a:t>Electronics</a:t>
          </a:r>
        </a:p>
        <a:p>
          <a:r>
            <a:rPr lang="en-IN" sz="1400" baseline="0">
              <a:latin typeface="Aptos" panose="020B0004020202020204" pitchFamily="34" charset="0"/>
            </a:rPr>
            <a:t>  (24Cr)</a:t>
          </a:r>
          <a:endParaRPr lang="en-IN" sz="1400">
            <a:latin typeface="Aptos" panose="020B0004020202020204" pitchFamily="34" charset="0"/>
          </a:endParaRPr>
        </a:p>
      </xdr:txBody>
    </xdr:sp>
    <xdr:clientData/>
  </xdr:oneCellAnchor>
  <xdr:oneCellAnchor>
    <xdr:from>
      <xdr:col>21</xdr:col>
      <xdr:colOff>215900</xdr:colOff>
      <xdr:row>40</xdr:row>
      <xdr:rowOff>143933</xdr:rowOff>
    </xdr:from>
    <xdr:ext cx="801373" cy="530658"/>
    <xdr:sp macro="" textlink="">
      <xdr:nvSpPr>
        <xdr:cNvPr id="3105" name="TextBox 3104">
          <a:extLst>
            <a:ext uri="{FF2B5EF4-FFF2-40B4-BE49-F238E27FC236}">
              <a16:creationId xmlns:a16="http://schemas.microsoft.com/office/drawing/2014/main" id="{F1B1F354-6DA1-409B-A12B-40A605ED3DE6}"/>
            </a:ext>
          </a:extLst>
        </xdr:cNvPr>
        <xdr:cNvSpPr txBox="1"/>
      </xdr:nvSpPr>
      <xdr:spPr>
        <a:xfrm>
          <a:off x="13017500" y="7255933"/>
          <a:ext cx="80137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tx1"/>
              </a:solidFill>
              <a:latin typeface="Aptos" panose="020B0004020202020204" pitchFamily="34" charset="0"/>
              <a:ea typeface="+mn-ea"/>
              <a:cs typeface="+mn-cs"/>
            </a:rPr>
            <a:t>Fashion</a:t>
          </a:r>
        </a:p>
        <a:p>
          <a:r>
            <a:rPr lang="en-IN" sz="1400">
              <a:solidFill>
                <a:schemeClr val="tx1"/>
              </a:solidFill>
              <a:latin typeface="Aptos" panose="020B0004020202020204" pitchFamily="34" charset="0"/>
              <a:ea typeface="+mn-ea"/>
              <a:cs typeface="+mn-cs"/>
            </a:rPr>
            <a:t>  (1.9Cr)</a:t>
          </a:r>
        </a:p>
      </xdr:txBody>
    </xdr:sp>
    <xdr:clientData/>
  </xdr:oneCellAnchor>
  <xdr:oneCellAnchor>
    <xdr:from>
      <xdr:col>21</xdr:col>
      <xdr:colOff>215900</xdr:colOff>
      <xdr:row>43</xdr:row>
      <xdr:rowOff>169333</xdr:rowOff>
    </xdr:from>
    <xdr:ext cx="1131785" cy="530658"/>
    <xdr:sp macro="" textlink="">
      <xdr:nvSpPr>
        <xdr:cNvPr id="3106" name="TextBox 3105">
          <a:extLst>
            <a:ext uri="{FF2B5EF4-FFF2-40B4-BE49-F238E27FC236}">
              <a16:creationId xmlns:a16="http://schemas.microsoft.com/office/drawing/2014/main" id="{1A83B226-34B5-417E-A5CA-F9BF39D2E706}"/>
            </a:ext>
          </a:extLst>
        </xdr:cNvPr>
        <xdr:cNvSpPr txBox="1"/>
      </xdr:nvSpPr>
      <xdr:spPr>
        <a:xfrm>
          <a:off x="13017500" y="7814733"/>
          <a:ext cx="113178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tx1"/>
              </a:solidFill>
              <a:latin typeface="Aptos" panose="020B0004020202020204" pitchFamily="34" charset="0"/>
              <a:ea typeface="+mn-ea"/>
              <a:cs typeface="+mn-cs"/>
            </a:rPr>
            <a:t>Accessories</a:t>
          </a:r>
        </a:p>
        <a:p>
          <a:r>
            <a:rPr lang="en-IN" sz="1400" baseline="0">
              <a:solidFill>
                <a:schemeClr val="tx1"/>
              </a:solidFill>
              <a:latin typeface="Aptos" panose="020B0004020202020204" pitchFamily="34" charset="0"/>
              <a:ea typeface="+mn-ea"/>
              <a:cs typeface="+mn-cs"/>
            </a:rPr>
            <a:t>  (0.87Cr)</a:t>
          </a:r>
          <a:endParaRPr lang="en-IN" sz="1400">
            <a:solidFill>
              <a:schemeClr val="tx1"/>
            </a:solidFill>
            <a:latin typeface="Aptos" panose="020B0004020202020204" pitchFamily="34" charset="0"/>
            <a:ea typeface="+mn-ea"/>
            <a:cs typeface="+mn-cs"/>
          </a:endParaRPr>
        </a:p>
      </xdr:txBody>
    </xdr:sp>
    <xdr:clientData/>
  </xdr:oneCellAnchor>
  <xdr:twoCellAnchor>
    <xdr:from>
      <xdr:col>23</xdr:col>
      <xdr:colOff>165100</xdr:colOff>
      <xdr:row>38</xdr:row>
      <xdr:rowOff>25400</xdr:rowOff>
    </xdr:from>
    <xdr:to>
      <xdr:col>25</xdr:col>
      <xdr:colOff>292100</xdr:colOff>
      <xdr:row>39</xdr:row>
      <xdr:rowOff>50800</xdr:rowOff>
    </xdr:to>
    <xdr:sp macro="" textlink="">
      <xdr:nvSpPr>
        <xdr:cNvPr id="3107" name="Rectangle 3106">
          <a:extLst>
            <a:ext uri="{FF2B5EF4-FFF2-40B4-BE49-F238E27FC236}">
              <a16:creationId xmlns:a16="http://schemas.microsoft.com/office/drawing/2014/main" id="{43B33137-5CC8-B076-9055-AA8D84A66354}"/>
            </a:ext>
          </a:extLst>
        </xdr:cNvPr>
        <xdr:cNvSpPr/>
      </xdr:nvSpPr>
      <xdr:spPr>
        <a:xfrm>
          <a:off x="14185900" y="6781800"/>
          <a:ext cx="1346200" cy="203200"/>
        </a:xfrm>
        <a:prstGeom prst="rect">
          <a:avLst/>
        </a:prstGeom>
        <a:gradFill flip="none" rotWithShape="1">
          <a:gsLst>
            <a:gs pos="11000">
              <a:srgbClr val="FFC000">
                <a:lumMod val="97000"/>
                <a:lumOff val="3000"/>
              </a:srgbClr>
            </a:gs>
            <a:gs pos="77000">
              <a:srgbClr val="FF0000"/>
            </a:gs>
            <a:gs pos="100000">
              <a:srgbClr val="FF0000"/>
            </a:gs>
          </a:gsLst>
          <a:lin ang="0" scaled="1"/>
          <a:tileRect/>
        </a:gradFill>
        <a:ln>
          <a:noFill/>
        </a:ln>
        <a:effectLst>
          <a:outerShdw blurRad="127000" dist="38100" dir="2700000" algn="tl" rotWithShape="0">
            <a:prstClr val="black">
              <a:alpha val="4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177800</xdr:colOff>
      <xdr:row>41</xdr:row>
      <xdr:rowOff>76200</xdr:rowOff>
    </xdr:from>
    <xdr:to>
      <xdr:col>23</xdr:col>
      <xdr:colOff>342900</xdr:colOff>
      <xdr:row>42</xdr:row>
      <xdr:rowOff>143933</xdr:rowOff>
    </xdr:to>
    <xdr:sp macro="" textlink="">
      <xdr:nvSpPr>
        <xdr:cNvPr id="3108" name="Rectangle 3107">
          <a:extLst>
            <a:ext uri="{FF2B5EF4-FFF2-40B4-BE49-F238E27FC236}">
              <a16:creationId xmlns:a16="http://schemas.microsoft.com/office/drawing/2014/main" id="{77F986C1-3AF8-4F2B-9E4E-6571C88DE02E}"/>
            </a:ext>
          </a:extLst>
        </xdr:cNvPr>
        <xdr:cNvSpPr/>
      </xdr:nvSpPr>
      <xdr:spPr>
        <a:xfrm>
          <a:off x="14198600" y="7366000"/>
          <a:ext cx="165100" cy="245533"/>
        </a:xfrm>
        <a:prstGeom prst="rect">
          <a:avLst/>
        </a:prstGeom>
        <a:gradFill>
          <a:gsLst>
            <a:gs pos="11000">
              <a:srgbClr val="66FF33"/>
            </a:gs>
            <a:gs pos="73000">
              <a:srgbClr val="00B050"/>
            </a:gs>
            <a:gs pos="100000">
              <a:srgbClr val="00B050"/>
            </a:gs>
          </a:gsLst>
          <a:lin ang="0" scaled="1"/>
        </a:gradFill>
        <a:ln>
          <a:noFill/>
        </a:ln>
        <a:effectLst>
          <a:outerShdw blurRad="889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190500</xdr:colOff>
      <xdr:row>44</xdr:row>
      <xdr:rowOff>139700</xdr:rowOff>
    </xdr:from>
    <xdr:to>
      <xdr:col>23</xdr:col>
      <xdr:colOff>266700</xdr:colOff>
      <xdr:row>45</xdr:row>
      <xdr:rowOff>160866</xdr:rowOff>
    </xdr:to>
    <xdr:sp macro="" textlink="">
      <xdr:nvSpPr>
        <xdr:cNvPr id="3109" name="Rectangle 3108">
          <a:extLst>
            <a:ext uri="{FF2B5EF4-FFF2-40B4-BE49-F238E27FC236}">
              <a16:creationId xmlns:a16="http://schemas.microsoft.com/office/drawing/2014/main" id="{BCE692FE-E252-486F-8912-37751F914B6E}"/>
            </a:ext>
          </a:extLst>
        </xdr:cNvPr>
        <xdr:cNvSpPr/>
      </xdr:nvSpPr>
      <xdr:spPr>
        <a:xfrm>
          <a:off x="14211300" y="7962900"/>
          <a:ext cx="76200" cy="198966"/>
        </a:xfrm>
        <a:prstGeom prst="rect">
          <a:avLst/>
        </a:prstGeom>
        <a:solidFill>
          <a:srgbClr val="FFFF00"/>
        </a:solidFill>
        <a:ln>
          <a:noFill/>
        </a:ln>
        <a:effectLst>
          <a:outerShdw blurRad="889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25</xdr:col>
      <xdr:colOff>317500</xdr:colOff>
      <xdr:row>37</xdr:row>
      <xdr:rowOff>165100</xdr:rowOff>
    </xdr:from>
    <xdr:ext cx="450636" cy="280205"/>
    <xdr:sp macro="" textlink="">
      <xdr:nvSpPr>
        <xdr:cNvPr id="3110" name="TextBox 3109">
          <a:extLst>
            <a:ext uri="{FF2B5EF4-FFF2-40B4-BE49-F238E27FC236}">
              <a16:creationId xmlns:a16="http://schemas.microsoft.com/office/drawing/2014/main" id="{DB849CCF-9AAC-926E-341E-7F1ABB003333}"/>
            </a:ext>
          </a:extLst>
        </xdr:cNvPr>
        <xdr:cNvSpPr txBox="1"/>
      </xdr:nvSpPr>
      <xdr:spPr>
        <a:xfrm>
          <a:off x="15557500" y="6743700"/>
          <a:ext cx="450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90%</a:t>
          </a:r>
        </a:p>
      </xdr:txBody>
    </xdr:sp>
    <xdr:clientData/>
  </xdr:oneCellAnchor>
  <xdr:oneCellAnchor>
    <xdr:from>
      <xdr:col>25</xdr:col>
      <xdr:colOff>342900</xdr:colOff>
      <xdr:row>41</xdr:row>
      <xdr:rowOff>55033</xdr:rowOff>
    </xdr:from>
    <xdr:ext cx="372666" cy="280205"/>
    <xdr:sp macro="" textlink="">
      <xdr:nvSpPr>
        <xdr:cNvPr id="3111" name="TextBox 3110">
          <a:extLst>
            <a:ext uri="{FF2B5EF4-FFF2-40B4-BE49-F238E27FC236}">
              <a16:creationId xmlns:a16="http://schemas.microsoft.com/office/drawing/2014/main" id="{0F0533FE-FEC7-4861-B965-D3E180881BC8}"/>
            </a:ext>
          </a:extLst>
        </xdr:cNvPr>
        <xdr:cNvSpPr txBox="1"/>
      </xdr:nvSpPr>
      <xdr:spPr>
        <a:xfrm>
          <a:off x="15582900" y="7344833"/>
          <a:ext cx="37266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7%</a:t>
          </a:r>
        </a:p>
      </xdr:txBody>
    </xdr:sp>
    <xdr:clientData/>
  </xdr:oneCellAnchor>
  <xdr:oneCellAnchor>
    <xdr:from>
      <xdr:col>25</xdr:col>
      <xdr:colOff>342900</xdr:colOff>
      <xdr:row>44</xdr:row>
      <xdr:rowOff>143933</xdr:rowOff>
    </xdr:from>
    <xdr:ext cx="372666" cy="280205"/>
    <xdr:sp macro="" textlink="">
      <xdr:nvSpPr>
        <xdr:cNvPr id="3112" name="TextBox 3111">
          <a:extLst>
            <a:ext uri="{FF2B5EF4-FFF2-40B4-BE49-F238E27FC236}">
              <a16:creationId xmlns:a16="http://schemas.microsoft.com/office/drawing/2014/main" id="{D3D68F32-D6BC-4134-92D3-C777F2117E76}"/>
            </a:ext>
          </a:extLst>
        </xdr:cNvPr>
        <xdr:cNvSpPr txBox="1"/>
      </xdr:nvSpPr>
      <xdr:spPr>
        <a:xfrm>
          <a:off x="15582900" y="7967133"/>
          <a:ext cx="37266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3%</a:t>
          </a:r>
        </a:p>
      </xdr:txBody>
    </xdr:sp>
    <xdr:clientData/>
  </xdr:oneCellAnchor>
  <xdr:oneCellAnchor>
    <xdr:from>
      <xdr:col>6</xdr:col>
      <xdr:colOff>304800</xdr:colOff>
      <xdr:row>12</xdr:row>
      <xdr:rowOff>76200</xdr:rowOff>
    </xdr:from>
    <xdr:ext cx="1570173" cy="1003300"/>
    <xdr:sp macro="" textlink="">
      <xdr:nvSpPr>
        <xdr:cNvPr id="3118" name="TextBox 3117">
          <a:extLst>
            <a:ext uri="{FF2B5EF4-FFF2-40B4-BE49-F238E27FC236}">
              <a16:creationId xmlns:a16="http://schemas.microsoft.com/office/drawing/2014/main" id="{9808117C-4A66-7145-D94D-0C6A8A7F8AA1}"/>
            </a:ext>
          </a:extLst>
        </xdr:cNvPr>
        <xdr:cNvSpPr txBox="1"/>
      </xdr:nvSpPr>
      <xdr:spPr>
        <a:xfrm>
          <a:off x="3962400" y="2209800"/>
          <a:ext cx="1570173" cy="1003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1">
              <a:solidFill>
                <a:schemeClr val="bg2">
                  <a:lumMod val="90000"/>
                  <a:alpha val="64000"/>
                </a:schemeClr>
              </a:solidFill>
              <a:effectLst/>
              <a:latin typeface="Aptos" panose="020B0004020202020204" pitchFamily="34" charset="0"/>
              <a:ea typeface="+mn-ea"/>
              <a:cs typeface="+mn-cs"/>
            </a:rPr>
            <a:t>E-Commerce</a:t>
          </a:r>
        </a:p>
        <a:p>
          <a:r>
            <a:rPr lang="en-IN" sz="1800" b="1">
              <a:solidFill>
                <a:schemeClr val="bg2">
                  <a:lumMod val="90000"/>
                  <a:alpha val="64000"/>
                </a:schemeClr>
              </a:solidFill>
              <a:effectLst/>
              <a:latin typeface="Aptos" panose="020B0004020202020204" pitchFamily="34" charset="0"/>
              <a:ea typeface="+mn-ea"/>
              <a:cs typeface="+mn-cs"/>
            </a:rPr>
            <a:t>Performance</a:t>
          </a:r>
        </a:p>
        <a:p>
          <a:r>
            <a:rPr lang="en-IN" sz="1800" b="1">
              <a:solidFill>
                <a:schemeClr val="bg2">
                  <a:lumMod val="75000"/>
                  <a:alpha val="64000"/>
                </a:schemeClr>
              </a:solidFill>
              <a:effectLst/>
              <a:latin typeface="Aptos" panose="020B0004020202020204" pitchFamily="34" charset="0"/>
              <a:ea typeface="+mn-ea"/>
              <a:cs typeface="+mn-cs"/>
            </a:rPr>
            <a:t>Dashboard</a:t>
          </a:r>
          <a:endParaRPr lang="en-IN" sz="1800" b="1">
            <a:solidFill>
              <a:schemeClr val="bg2">
                <a:lumMod val="75000"/>
                <a:alpha val="64000"/>
              </a:schemeClr>
            </a:solidFill>
            <a:effectLst/>
            <a:latin typeface="Aptos" panose="020B0004020202020204" pitchFamily="34" charset="0"/>
          </a:endParaRPr>
        </a:p>
        <a:p>
          <a:endParaRPr lang="en-IN" sz="1800">
            <a:latin typeface="Aptos" panose="020B0004020202020204" pitchFamily="34" charset="0"/>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0.44577</cdr:x>
      <cdr:y>0.53636</cdr:y>
    </cdr:from>
    <cdr:to>
      <cdr:x>0.646</cdr:x>
      <cdr:y>0.87203</cdr:y>
    </cdr:to>
    <cdr:sp macro="" textlink="">
      <cdr:nvSpPr>
        <cdr:cNvPr id="2" name="TextBox 1">
          <a:extLst xmlns:a="http://schemas.openxmlformats.org/drawingml/2006/main">
            <a:ext uri="{FF2B5EF4-FFF2-40B4-BE49-F238E27FC236}">
              <a16:creationId xmlns:a16="http://schemas.microsoft.com/office/drawing/2014/main" id="{4445B561-C60A-B2F1-5162-1F4554A47D7F}"/>
            </a:ext>
          </a:extLst>
        </cdr:cNvPr>
        <cdr:cNvSpPr txBox="1"/>
      </cdr:nvSpPr>
      <cdr:spPr>
        <a:xfrm xmlns:a="http://schemas.openxmlformats.org/drawingml/2006/main">
          <a:off x="2035810" y="146113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0.36212</cdr:x>
      <cdr:y>0.42593</cdr:y>
    </cdr:from>
    <cdr:to>
      <cdr:x>0.67068</cdr:x>
      <cdr:y>0.70918</cdr:y>
    </cdr:to>
    <cdr:sp macro="" textlink="Pivot!$D$26">
      <cdr:nvSpPr>
        <cdr:cNvPr id="3" name="TextBox 2">
          <a:extLst xmlns:a="http://schemas.openxmlformats.org/drawingml/2006/main">
            <a:ext uri="{FF2B5EF4-FFF2-40B4-BE49-F238E27FC236}">
              <a16:creationId xmlns:a16="http://schemas.microsoft.com/office/drawing/2014/main" id="{7256571C-C0FD-C5CE-F9DE-9B7CA62BF533}"/>
            </a:ext>
          </a:extLst>
        </cdr:cNvPr>
        <cdr:cNvSpPr txBox="1"/>
      </cdr:nvSpPr>
      <cdr:spPr>
        <a:xfrm xmlns:a="http://schemas.openxmlformats.org/drawingml/2006/main">
          <a:off x="1145128" y="1060223"/>
          <a:ext cx="975772" cy="7050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2AA5B26D-CD9E-41AA-9D48-82D31B2A1A92}" type="TxLink">
            <a:rPr lang="en-US" sz="3200" b="0" i="0" u="none" strike="noStrike" kern="1200">
              <a:solidFill>
                <a:srgbClr val="000000"/>
              </a:solidFill>
              <a:latin typeface="Bahnschrift" panose="020B0502040204020203" pitchFamily="34" charset="0"/>
              <a:ea typeface="Calibri"/>
              <a:cs typeface="Calibri"/>
            </a:rPr>
            <a:t>61%</a:t>
          </a:fld>
          <a:endParaRPr lang="en-IN" sz="3200" kern="1200">
            <a:latin typeface="Bahnschrift" panose="020B0502040204020203" pitchFamily="34" charset="0"/>
          </a:endParaRPr>
        </a:p>
      </cdr:txBody>
    </cdr:sp>
  </cdr:relSizeAnchor>
  <cdr:relSizeAnchor xmlns:cdr="http://schemas.openxmlformats.org/drawingml/2006/chartDrawing">
    <cdr:from>
      <cdr:x>0</cdr:x>
      <cdr:y>0.01531</cdr:y>
    </cdr:from>
    <cdr:to>
      <cdr:x>0.32932</cdr:x>
      <cdr:y>0.14286</cdr:y>
    </cdr:to>
    <cdr:sp macro="" textlink="">
      <cdr:nvSpPr>
        <cdr:cNvPr id="4" name="TextBox 3">
          <a:extLst xmlns:a="http://schemas.openxmlformats.org/drawingml/2006/main">
            <a:ext uri="{FF2B5EF4-FFF2-40B4-BE49-F238E27FC236}">
              <a16:creationId xmlns:a16="http://schemas.microsoft.com/office/drawing/2014/main" id="{F290A6C4-F820-6A46-A707-3DA225681FF9}"/>
            </a:ext>
          </a:extLst>
        </cdr:cNvPr>
        <cdr:cNvSpPr txBox="1"/>
      </cdr:nvSpPr>
      <cdr:spPr>
        <a:xfrm xmlns:a="http://schemas.openxmlformats.org/drawingml/2006/main">
          <a:off x="0" y="38100"/>
          <a:ext cx="1041400" cy="3175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latin typeface="Aptos" panose="020B0004020202020204" pitchFamily="34" charset="0"/>
            </a:rPr>
            <a:t>Conversion Rate</a:t>
          </a:r>
          <a:r>
            <a:rPr lang="en-IN" sz="1100" b="1" kern="1200" baseline="0">
              <a:latin typeface="Aptos" panose="020B0004020202020204" pitchFamily="34" charset="0"/>
            </a:rPr>
            <a:t> </a:t>
          </a:r>
          <a:endParaRPr lang="en-IN" sz="1100" b="1" kern="1200">
            <a:latin typeface="Aptos" panose="020B0004020202020204" pitchFamily="34" charset="0"/>
          </a:endParaRPr>
        </a:p>
      </cdr:txBody>
    </cdr:sp>
  </cdr:relSizeAnchor>
  <cdr:relSizeAnchor xmlns:cdr="http://schemas.openxmlformats.org/drawingml/2006/chartDrawing">
    <cdr:from>
      <cdr:x>0.31325</cdr:x>
      <cdr:y>0.36735</cdr:y>
    </cdr:from>
    <cdr:to>
      <cdr:x>0.6988</cdr:x>
      <cdr:y>0.47449</cdr:y>
    </cdr:to>
    <cdr:sp macro="" textlink="">
      <cdr:nvSpPr>
        <cdr:cNvPr id="5" name="TextBox 4">
          <a:extLst xmlns:a="http://schemas.openxmlformats.org/drawingml/2006/main">
            <a:ext uri="{FF2B5EF4-FFF2-40B4-BE49-F238E27FC236}">
              <a16:creationId xmlns:a16="http://schemas.microsoft.com/office/drawing/2014/main" id="{D566209D-ED06-D8CA-63AD-AAF6F6D0379E}"/>
            </a:ext>
          </a:extLst>
        </cdr:cNvPr>
        <cdr:cNvSpPr txBox="1"/>
      </cdr:nvSpPr>
      <cdr:spPr>
        <a:xfrm xmlns:a="http://schemas.openxmlformats.org/drawingml/2006/main">
          <a:off x="990600" y="914400"/>
          <a:ext cx="1219200"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kern="1200"/>
            <a:t>Visitors to Buyers</a:t>
          </a:r>
        </a:p>
      </cdr:txBody>
    </cdr:sp>
  </cdr:relSizeAnchor>
</c:userShapes>
</file>

<file path=xl/drawings/drawing3.xml><?xml version="1.0" encoding="utf-8"?>
<c:userShapes xmlns:c="http://schemas.openxmlformats.org/drawingml/2006/chart">
  <cdr:relSizeAnchor xmlns:cdr="http://schemas.openxmlformats.org/drawingml/2006/chartDrawing">
    <cdr:from>
      <cdr:x>0.55332</cdr:x>
      <cdr:y>0.56268</cdr:y>
    </cdr:from>
    <cdr:to>
      <cdr:x>0.64534</cdr:x>
      <cdr:y>0.65929</cdr:y>
    </cdr:to>
    <cdr:sp macro="" textlink="">
      <cdr:nvSpPr>
        <cdr:cNvPr id="3" name="TextBox 2">
          <a:extLst xmlns:a="http://schemas.openxmlformats.org/drawingml/2006/main">
            <a:ext uri="{FF2B5EF4-FFF2-40B4-BE49-F238E27FC236}">
              <a16:creationId xmlns:a16="http://schemas.microsoft.com/office/drawing/2014/main" id="{1F8EBA2F-896F-4D31-5DC9-254E4F834AFB}"/>
            </a:ext>
          </a:extLst>
        </cdr:cNvPr>
        <cdr:cNvSpPr txBox="1"/>
      </cdr:nvSpPr>
      <cdr:spPr>
        <a:xfrm xmlns:a="http://schemas.openxmlformats.org/drawingml/2006/main">
          <a:off x="3843857" y="1615011"/>
          <a:ext cx="639243" cy="27728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kern="1200"/>
            <a:t>Launch</a:t>
          </a:r>
        </a:p>
      </cdr:txBody>
    </cdr:sp>
  </cdr:relSizeAnchor>
  <cdr:relSizeAnchor xmlns:cdr="http://schemas.openxmlformats.org/drawingml/2006/chartDrawing">
    <cdr:from>
      <cdr:x>0.40539</cdr:x>
      <cdr:y>0.28535</cdr:y>
    </cdr:from>
    <cdr:to>
      <cdr:x>0.52811</cdr:x>
      <cdr:y>0.54501</cdr:y>
    </cdr:to>
    <cdr:pic>
      <cdr:nvPicPr>
        <cdr:cNvPr id="5" name="Graphic 4" descr="Arrow: Straight with solid fill">
          <a:extLst xmlns:a="http://schemas.openxmlformats.org/drawingml/2006/main">
            <a:ext uri="{FF2B5EF4-FFF2-40B4-BE49-F238E27FC236}">
              <a16:creationId xmlns:a16="http://schemas.microsoft.com/office/drawing/2014/main" id="{BAE05547-B6DB-1676-5B9A-3B0B9B52425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rot="8148025">
          <a:off x="2816224" y="819005"/>
          <a:ext cx="852521" cy="745291"/>
        </a:xfrm>
        <a:prstGeom xmlns:a="http://schemas.openxmlformats.org/drawingml/2006/main" prst="rect">
          <a:avLst/>
        </a:prstGeom>
      </cdr:spPr>
    </cdr:pic>
  </cdr:relSizeAnchor>
</c:userShape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beautiful-sales-project-management-dashboard.xlsx" TargetMode="External"/><Relationship Id="rId2" Type="http://schemas.openxmlformats.org/officeDocument/2006/relationships/externalLinkPath" Target="file:///C:\Users\Ebin\Downloads\beautiful-sales-project-management-dashboard.xlsx" TargetMode="External"/><Relationship Id="rId1" Type="http://schemas.openxmlformats.org/officeDocument/2006/relationships/externalLinkPath" Target="/Users/Ebin/Downloads/beautiful-sales-project-management-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SHBOARD"/>
      <sheetName val="DASHBOARD TOP3"/>
      <sheetName val="Visitors and Buyers"/>
      <sheetName val="Sales Funnel"/>
      <sheetName val="Roadmap"/>
      <sheetName val="Sales Volume"/>
      <sheetName val="Sales Volume V2"/>
      <sheetName val="DASHBOARD SV"/>
      <sheetName val="Processing"/>
      <sheetName val="Control"/>
      <sheetName val="Data"/>
      <sheetName val="Resour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F2" t="str">
            <v>Visitors</v>
          </cell>
          <cell r="G2" t="str">
            <v>Buyers</v>
          </cell>
          <cell r="H2" t="str">
            <v>New Buyers</v>
          </cell>
          <cell r="I2" t="str">
            <v>Cursor V</v>
          </cell>
          <cell r="J2" t="str">
            <v>Cursor B</v>
          </cell>
          <cell r="K2" t="str">
            <v>Cursor F</v>
          </cell>
        </row>
        <row r="3">
          <cell r="E3" t="str">
            <v>JAN</v>
          </cell>
          <cell r="F3">
            <v>7857</v>
          </cell>
          <cell r="G3">
            <v>4007</v>
          </cell>
          <cell r="H3">
            <v>2685</v>
          </cell>
          <cell r="I3">
            <v>7857</v>
          </cell>
          <cell r="J3">
            <v>4007</v>
          </cell>
          <cell r="K3">
            <v>2685</v>
          </cell>
          <cell r="L3">
            <v>3850</v>
          </cell>
        </row>
        <row r="4">
          <cell r="E4" t="str">
            <v>FEB</v>
          </cell>
          <cell r="F4">
            <v>7337</v>
          </cell>
          <cell r="G4">
            <v>4182</v>
          </cell>
          <cell r="H4">
            <v>2342</v>
          </cell>
          <cell r="I4" t="e">
            <v>#N/A</v>
          </cell>
          <cell r="J4" t="e">
            <v>#N/A</v>
          </cell>
          <cell r="K4" t="e">
            <v>#N/A</v>
          </cell>
          <cell r="L4" t="e">
            <v>#N/A</v>
          </cell>
        </row>
        <row r="5">
          <cell r="E5" t="str">
            <v>MAR</v>
          </cell>
          <cell r="F5">
            <v>8030</v>
          </cell>
          <cell r="G5">
            <v>3292</v>
          </cell>
          <cell r="H5">
            <v>2074</v>
          </cell>
          <cell r="I5" t="e">
            <v>#N/A</v>
          </cell>
          <cell r="J5" t="e">
            <v>#N/A</v>
          </cell>
          <cell r="K5" t="e">
            <v>#N/A</v>
          </cell>
          <cell r="L5" t="e">
            <v>#N/A</v>
          </cell>
        </row>
        <row r="6">
          <cell r="E6" t="str">
            <v>APR</v>
          </cell>
          <cell r="F6">
            <v>8954</v>
          </cell>
          <cell r="G6">
            <v>4656</v>
          </cell>
          <cell r="H6">
            <v>2747</v>
          </cell>
          <cell r="I6" t="e">
            <v>#N/A</v>
          </cell>
          <cell r="J6" t="e">
            <v>#N/A</v>
          </cell>
          <cell r="K6" t="e">
            <v>#N/A</v>
          </cell>
          <cell r="L6" t="e">
            <v>#N/A</v>
          </cell>
        </row>
        <row r="7">
          <cell r="E7" t="str">
            <v>MAY</v>
          </cell>
          <cell r="F7">
            <v>8319</v>
          </cell>
          <cell r="G7">
            <v>4492</v>
          </cell>
          <cell r="H7">
            <v>3055</v>
          </cell>
          <cell r="I7" t="e">
            <v>#N/A</v>
          </cell>
          <cell r="J7" t="e">
            <v>#N/A</v>
          </cell>
          <cell r="K7" t="e">
            <v>#N/A</v>
          </cell>
          <cell r="L7" t="e">
            <v>#N/A</v>
          </cell>
        </row>
        <row r="8">
          <cell r="E8" t="str">
            <v>JUN</v>
          </cell>
          <cell r="F8">
            <v>6932</v>
          </cell>
          <cell r="G8">
            <v>3327</v>
          </cell>
          <cell r="H8">
            <v>1996</v>
          </cell>
          <cell r="I8" t="e">
            <v>#N/A</v>
          </cell>
          <cell r="J8" t="e">
            <v>#N/A</v>
          </cell>
          <cell r="K8" t="e">
            <v>#N/A</v>
          </cell>
          <cell r="L8" t="e">
            <v>#N/A</v>
          </cell>
        </row>
        <row r="9">
          <cell r="E9" t="str">
            <v>JUL</v>
          </cell>
          <cell r="F9">
            <v>6817</v>
          </cell>
          <cell r="G9">
            <v>3340</v>
          </cell>
          <cell r="H9">
            <v>2171</v>
          </cell>
          <cell r="I9" t="e">
            <v>#N/A</v>
          </cell>
          <cell r="J9" t="e">
            <v>#N/A</v>
          </cell>
          <cell r="K9" t="e">
            <v>#N/A</v>
          </cell>
          <cell r="L9" t="e">
            <v>#N/A</v>
          </cell>
        </row>
        <row r="10">
          <cell r="E10" t="str">
            <v>AUG</v>
          </cell>
          <cell r="F10">
            <v>7741</v>
          </cell>
          <cell r="G10">
            <v>3251</v>
          </cell>
          <cell r="H10">
            <v>1691</v>
          </cell>
          <cell r="I10" t="e">
            <v>#N/A</v>
          </cell>
          <cell r="J10" t="e">
            <v>#N/A</v>
          </cell>
          <cell r="K10" t="e">
            <v>#N/A</v>
          </cell>
          <cell r="L10" t="e">
            <v>#N/A</v>
          </cell>
        </row>
        <row r="11">
          <cell r="E11" t="str">
            <v>SEP</v>
          </cell>
          <cell r="F11">
            <v>9474</v>
          </cell>
          <cell r="G11">
            <v>4074</v>
          </cell>
          <cell r="H11">
            <v>2078</v>
          </cell>
          <cell r="I11" t="e">
            <v>#N/A</v>
          </cell>
          <cell r="J11" t="e">
            <v>#N/A</v>
          </cell>
          <cell r="K11" t="e">
            <v>#N/A</v>
          </cell>
          <cell r="L11" t="e">
            <v>#N/A</v>
          </cell>
        </row>
        <row r="12">
          <cell r="E12" t="str">
            <v>OCT</v>
          </cell>
          <cell r="F12">
            <v>10168</v>
          </cell>
          <cell r="G12">
            <v>4271</v>
          </cell>
          <cell r="H12">
            <v>2904</v>
          </cell>
          <cell r="I12" t="e">
            <v>#N/A</v>
          </cell>
          <cell r="J12" t="e">
            <v>#N/A</v>
          </cell>
          <cell r="K12" t="e">
            <v>#N/A</v>
          </cell>
          <cell r="L12" t="e">
            <v>#N/A</v>
          </cell>
        </row>
        <row r="13">
          <cell r="E13" t="str">
            <v>NOV</v>
          </cell>
          <cell r="F13">
            <v>9705</v>
          </cell>
          <cell r="G13">
            <v>5532</v>
          </cell>
          <cell r="H13">
            <v>3319</v>
          </cell>
          <cell r="I13" t="e">
            <v>#N/A</v>
          </cell>
          <cell r="J13" t="e">
            <v>#N/A</v>
          </cell>
          <cell r="K13" t="e">
            <v>#N/A</v>
          </cell>
          <cell r="L13" t="e">
            <v>#N/A</v>
          </cell>
        </row>
        <row r="14">
          <cell r="E14" t="str">
            <v>DEC</v>
          </cell>
          <cell r="F14">
            <v>8666</v>
          </cell>
          <cell r="G14">
            <v>4853</v>
          </cell>
          <cell r="H14">
            <v>2863</v>
          </cell>
          <cell r="I14" t="e">
            <v>#N/A</v>
          </cell>
          <cell r="J14" t="e">
            <v>#N/A</v>
          </cell>
          <cell r="K14" t="e">
            <v>#N/A</v>
          </cell>
          <cell r="L14" t="e">
            <v>#N/A</v>
          </cell>
        </row>
      </sheetData>
      <sheetData sheetId="9" refreshError="1"/>
      <sheetData sheetId="10" refreshError="1"/>
      <sheetData sheetId="1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bin" refreshedDate="46200.912438541665" createdVersion="8" refreshedVersion="8" minRefreshableVersion="3" recordCount="48" xr:uid="{2CC91ED4-C4B9-4E35-9C4B-73086F85A3B5}">
  <cacheSource type="worksheet">
    <worksheetSource ref="A1:V49" sheet="Dashboard_Data"/>
  </cacheSource>
  <cacheFields count="22">
    <cacheField name="Year" numFmtId="0">
      <sharedItems containsSemiMixedTypes="0" containsString="0" containsNumber="1" containsInteger="1" minValue="2021" maxValue="2024" count="4">
        <n v="2024"/>
        <n v="2021"/>
        <n v="2022"/>
        <n v="2023"/>
      </sharedItems>
    </cacheField>
    <cacheField name="Month" numFmtId="0">
      <sharedItems count="12">
        <s v="February"/>
        <s v="March"/>
        <s v="October"/>
        <s v="December"/>
        <s v="April"/>
        <s v="January"/>
        <s v="November"/>
        <s v="July"/>
        <s v="September"/>
        <s v="August"/>
        <s v="June"/>
        <s v="May"/>
      </sharedItems>
    </cacheField>
    <cacheField name="Visitors" numFmtId="0">
      <sharedItems containsSemiMixedTypes="0" containsString="0" containsNumber="1" containsInteger="1" minValue="278" maxValue="367"/>
    </cacheField>
    <cacheField name="Returning_Buyers" numFmtId="0">
      <sharedItems containsSemiMixedTypes="0" containsString="0" containsNumber="1" containsInteger="1" minValue="102" maxValue="144"/>
    </cacheField>
    <cacheField name="New_Buyers" numFmtId="0">
      <sharedItems containsSemiMixedTypes="0" containsString="0" containsNumber="1" containsInteger="1" minValue="166" maxValue="223"/>
    </cacheField>
    <cacheField name="Purchase_Volume" numFmtId="0">
      <sharedItems containsSemiMixedTypes="0" containsString="0" containsNumber="1" containsInteger="1" minValue="4335900" maxValue="8346100"/>
    </cacheField>
    <cacheField name="Sales_Volume" numFmtId="0">
      <sharedItems containsSemiMixedTypes="0" containsString="0" containsNumber="1" containsInteger="1" minValue="3908850" maxValue="7481155"/>
    </cacheField>
    <cacheField name="Profit" numFmtId="0">
      <sharedItems containsSemiMixedTypes="0" containsString="0" containsNumber="1" minValue="691495.05" maxValue="1134051.8"/>
    </cacheField>
    <cacheField name="Profit Margin" numFmtId="0">
      <sharedItems containsSemiMixedTypes="0" containsString="0" containsNumber="1" minValue="0.15158779626942631" maxValue="0.17690498484208911"/>
    </cacheField>
    <cacheField name="Electronics" numFmtId="0">
      <sharedItems containsSemiMixedTypes="0" containsString="0" containsNumber="1" containsInteger="1" minValue="3313400" maxValue="6902300"/>
    </cacheField>
    <cacheField name="Fashion" numFmtId="0">
      <sharedItems containsSemiMixedTypes="0" containsString="0" containsNumber="1" containsInteger="1" minValue="303525" maxValue="514975"/>
    </cacheField>
    <cacheField name="Accessories" numFmtId="0">
      <sharedItems containsSemiMixedTypes="0" containsString="0" containsNumber="1" containsInteger="1" minValue="132350" maxValue="238970"/>
    </cacheField>
    <cacheField name="Level 1" numFmtId="0">
      <sharedItems containsSemiMixedTypes="0" containsString="0" containsNumber="1" containsInteger="1" minValue="100" maxValue="100"/>
    </cacheField>
    <cacheField name="Level 2" numFmtId="0">
      <sharedItems containsSemiMixedTypes="0" containsString="0" containsNumber="1" containsInteger="1" minValue="85" maxValue="85"/>
    </cacheField>
    <cacheField name="Level 3" numFmtId="0">
      <sharedItems containsSemiMixedTypes="0" containsString="0" containsNumber="1" containsInteger="1" minValue="70" maxValue="70"/>
    </cacheField>
    <cacheField name="Level 4" numFmtId="0">
      <sharedItems containsSemiMixedTypes="0" containsString="0" containsNumber="1" containsInteger="1" minValue="55" maxValue="55"/>
    </cacheField>
    <cacheField name="Level 5" numFmtId="0">
      <sharedItems containsSemiMixedTypes="0" containsString="0" containsNumber="1" containsInteger="1" minValue="40" maxValue="40"/>
    </cacheField>
    <cacheField name="Buyers" numFmtId="0">
      <sharedItems containsSemiMixedTypes="0" containsString="0" containsNumber="1" containsInteger="1" minValue="278" maxValue="367" count="35">
        <n v="288"/>
        <n v="313"/>
        <n v="318"/>
        <n v="292"/>
        <n v="324"/>
        <n v="321"/>
        <n v="302"/>
        <n v="328"/>
        <n v="301"/>
        <n v="304"/>
        <n v="330"/>
        <n v="327"/>
        <n v="367"/>
        <n v="300"/>
        <n v="325"/>
        <n v="333"/>
        <n v="310"/>
        <n v="358"/>
        <n v="323"/>
        <n v="322"/>
        <n v="289"/>
        <n v="332"/>
        <n v="312"/>
        <n v="287"/>
        <n v="315"/>
        <n v="294"/>
        <n v="305"/>
        <n v="278"/>
        <n v="329"/>
        <n v="317"/>
        <n v="354"/>
        <n v="291"/>
        <n v="342"/>
        <n v="280"/>
        <n v="303"/>
      </sharedItems>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s>
  <extLst>
    <ext xmlns:x14="http://schemas.microsoft.com/office/spreadsheetml/2009/9/main" uri="{725AE2AE-9491-48be-B2B4-4EB974FC3084}">
      <x14:pivotCacheDefinition pivotCacheId="12511044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bin" refreshedDate="46201.865001967592" createdVersion="8" refreshedVersion="8" minRefreshableVersion="3" recordCount="48" xr:uid="{C57D581C-5E98-48DA-A2DE-473EEF823BC6}">
  <cacheSource type="worksheet">
    <worksheetSource ref="A1:R49" sheet="Dashboard_Data"/>
  </cacheSource>
  <cacheFields count="18">
    <cacheField name="Year" numFmtId="0">
      <sharedItems containsSemiMixedTypes="0" containsString="0" containsNumber="1" containsInteger="1" minValue="2021" maxValue="2024"/>
    </cacheField>
    <cacheField name="Month" numFmtId="0">
      <sharedItems count="12">
        <s v="February"/>
        <s v="March"/>
        <s v="October"/>
        <s v="December"/>
        <s v="April"/>
        <s v="January"/>
        <s v="November"/>
        <s v="July"/>
        <s v="September"/>
        <s v="August"/>
        <s v="June"/>
        <s v="May"/>
      </sharedItems>
    </cacheField>
    <cacheField name="Visitors" numFmtId="0">
      <sharedItems containsSemiMixedTypes="0" containsString="0" containsNumber="1" containsInteger="1" minValue="278" maxValue="367"/>
    </cacheField>
    <cacheField name="Returning_Buyers" numFmtId="0">
      <sharedItems containsSemiMixedTypes="0" containsString="0" containsNumber="1" containsInteger="1" minValue="102" maxValue="144"/>
    </cacheField>
    <cacheField name="New_Buyers" numFmtId="0">
      <sharedItems containsSemiMixedTypes="0" containsString="0" containsNumber="1" containsInteger="1" minValue="166" maxValue="223"/>
    </cacheField>
    <cacheField name="Purchase_Volume" numFmtId="0">
      <sharedItems containsSemiMixedTypes="0" containsString="0" containsNumber="1" containsInteger="1" minValue="4335900" maxValue="8346100"/>
    </cacheField>
    <cacheField name="Sales_Volume" numFmtId="0">
      <sharedItems containsSemiMixedTypes="0" containsString="0" containsNumber="1" containsInteger="1" minValue="3908850" maxValue="7481155"/>
    </cacheField>
    <cacheField name="Profit" numFmtId="0">
      <sharedItems containsSemiMixedTypes="0" containsString="0" containsNumber="1" minValue="691495.05" maxValue="1134051.8"/>
    </cacheField>
    <cacheField name="Profit Margin" numFmtId="0">
      <sharedItems containsSemiMixedTypes="0" containsString="0" containsNumber="1" minValue="0.15158779626942631" maxValue="0.17690498484208911"/>
    </cacheField>
    <cacheField name="Electronics" numFmtId="0">
      <sharedItems containsSemiMixedTypes="0" containsString="0" containsNumber="1" containsInteger="1" minValue="3313400" maxValue="6902300"/>
    </cacheField>
    <cacheField name="Fashion" numFmtId="0">
      <sharedItems containsSemiMixedTypes="0" containsString="0" containsNumber="1" containsInteger="1" minValue="303525" maxValue="514975"/>
    </cacheField>
    <cacheField name="Accessories" numFmtId="0">
      <sharedItems containsSemiMixedTypes="0" containsString="0" containsNumber="1" containsInteger="1" minValue="132350" maxValue="238970"/>
    </cacheField>
    <cacheField name="Level 1" numFmtId="0">
      <sharedItems containsSemiMixedTypes="0" containsString="0" containsNumber="1" containsInteger="1" minValue="100" maxValue="100"/>
    </cacheField>
    <cacheField name="Level 2" numFmtId="0">
      <sharedItems containsSemiMixedTypes="0" containsString="0" containsNumber="1" containsInteger="1" minValue="85" maxValue="85"/>
    </cacheField>
    <cacheField name="Level 3" numFmtId="0">
      <sharedItems containsSemiMixedTypes="0" containsString="0" containsNumber="1" containsInteger="1" minValue="70" maxValue="70"/>
    </cacheField>
    <cacheField name="Level 4" numFmtId="0">
      <sharedItems containsSemiMixedTypes="0" containsString="0" containsNumber="1" containsInteger="1" minValue="55" maxValue="55"/>
    </cacheField>
    <cacheField name="Level 5" numFmtId="0">
      <sharedItems containsSemiMixedTypes="0" containsString="0" containsNumber="1" containsInteger="1" minValue="40" maxValue="40"/>
    </cacheField>
    <cacheField name="Buyers" numFmtId="0">
      <sharedItems containsSemiMixedTypes="0" containsString="0" containsNumber="1" containsInteger="1" minValue="278" maxValue="36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288"/>
    <n v="122"/>
    <n v="166"/>
    <n v="6155400"/>
    <n v="5550710"/>
    <n v="865920.85"/>
    <n v="0.15600181778547251"/>
    <n v="4997850"/>
    <n v="391175"/>
    <n v="161685"/>
    <n v="100"/>
    <n v="85"/>
    <n v="70"/>
    <n v="55"/>
    <n v="40"/>
    <x v="0"/>
    <m/>
    <m/>
    <m/>
    <m/>
  </r>
  <r>
    <x v="1"/>
    <x v="1"/>
    <n v="312"/>
    <n v="124"/>
    <n v="189"/>
    <n v="5816200"/>
    <n v="5358160"/>
    <n v="882449.9"/>
    <n v="0.16469271167714289"/>
    <n v="4650000"/>
    <n v="490145"/>
    <n v="218015"/>
    <n v="100"/>
    <n v="85"/>
    <n v="70"/>
    <n v="55"/>
    <n v="40"/>
    <x v="1"/>
    <m/>
    <m/>
    <m/>
    <m/>
  </r>
  <r>
    <x v="1"/>
    <x v="2"/>
    <n v="318"/>
    <n v="125"/>
    <n v="193"/>
    <n v="7202300"/>
    <n v="6492445"/>
    <n v="1002609.2"/>
    <n v="0.15442706099166029"/>
    <n v="5937700"/>
    <n v="375385"/>
    <n v="179360"/>
    <n v="100"/>
    <n v="85"/>
    <n v="70"/>
    <n v="55"/>
    <n v="40"/>
    <x v="2"/>
    <m/>
    <m/>
    <m/>
    <m/>
  </r>
  <r>
    <x v="2"/>
    <x v="3"/>
    <n v="291"/>
    <n v="105"/>
    <n v="187"/>
    <n v="5691900"/>
    <n v="5161205"/>
    <n v="838084.9"/>
    <n v="0.1623816337463829"/>
    <n v="4558400"/>
    <n v="406195"/>
    <n v="196610"/>
    <n v="100"/>
    <n v="85"/>
    <n v="70"/>
    <n v="55"/>
    <n v="40"/>
    <x v="3"/>
    <m/>
    <m/>
    <m/>
    <m/>
  </r>
  <r>
    <x v="3"/>
    <x v="4"/>
    <n v="323"/>
    <n v="139"/>
    <n v="185"/>
    <n v="5890000"/>
    <n v="5334450"/>
    <n v="858982.85"/>
    <n v="0.16102556964635531"/>
    <n v="4741850"/>
    <n v="416330"/>
    <n v="176270"/>
    <n v="100"/>
    <n v="85"/>
    <n v="70"/>
    <n v="55"/>
    <n v="40"/>
    <x v="4"/>
    <m/>
    <m/>
    <m/>
    <m/>
  </r>
  <r>
    <x v="1"/>
    <x v="5"/>
    <n v="321"/>
    <n v="131"/>
    <n v="190"/>
    <n v="6763200"/>
    <n v="6164305"/>
    <n v="979365.2"/>
    <n v="0.1588768239079669"/>
    <n v="5515500"/>
    <n v="431060"/>
    <n v="217745"/>
    <n v="100"/>
    <n v="85"/>
    <n v="70"/>
    <n v="55"/>
    <n v="40"/>
    <x v="5"/>
    <m/>
    <m/>
    <m/>
    <m/>
  </r>
  <r>
    <x v="0"/>
    <x v="6"/>
    <n v="302"/>
    <n v="127"/>
    <n v="175"/>
    <n v="6235300"/>
    <n v="5649445"/>
    <n v="887316.15"/>
    <n v="0.15706253446134971"/>
    <n v="5103300"/>
    <n v="332020"/>
    <n v="214125"/>
    <n v="100"/>
    <n v="85"/>
    <n v="70"/>
    <n v="55"/>
    <n v="40"/>
    <x v="6"/>
    <m/>
    <m/>
    <m/>
    <m/>
  </r>
  <r>
    <x v="1"/>
    <x v="7"/>
    <n v="328"/>
    <n v="132"/>
    <n v="196"/>
    <n v="8346100"/>
    <n v="7481155"/>
    <n v="1134051.8"/>
    <n v="0.15158779626942631"/>
    <n v="6902300"/>
    <n v="420610"/>
    <n v="158245"/>
    <n v="100"/>
    <n v="85"/>
    <n v="70"/>
    <n v="55"/>
    <n v="40"/>
    <x v="7"/>
    <m/>
    <m/>
    <m/>
    <m/>
  </r>
  <r>
    <x v="0"/>
    <x v="8"/>
    <n v="298"/>
    <n v="129"/>
    <n v="172"/>
    <n v="6816100"/>
    <n v="6133095"/>
    <n v="947951.5"/>
    <n v="0.15456331591146069"/>
    <n v="5609950"/>
    <n v="350935"/>
    <n v="172210"/>
    <n v="100"/>
    <n v="85"/>
    <n v="70"/>
    <n v="55"/>
    <n v="40"/>
    <x v="8"/>
    <m/>
    <m/>
    <m/>
    <m/>
  </r>
  <r>
    <x v="2"/>
    <x v="5"/>
    <n v="303"/>
    <n v="125"/>
    <n v="179"/>
    <n v="6826400"/>
    <n v="6139300"/>
    <n v="955947.65"/>
    <n v="0.15570955157754141"/>
    <n v="5577900"/>
    <n v="417875"/>
    <n v="143525"/>
    <n v="100"/>
    <n v="85"/>
    <n v="70"/>
    <n v="55"/>
    <n v="40"/>
    <x v="9"/>
    <m/>
    <m/>
    <m/>
    <m/>
  </r>
  <r>
    <x v="3"/>
    <x v="7"/>
    <n v="330"/>
    <n v="137"/>
    <n v="193"/>
    <n v="5696400"/>
    <n v="5233710"/>
    <n v="864191.35"/>
    <n v="0.16512022064653939"/>
    <n v="4528750"/>
    <n v="514975"/>
    <n v="189985"/>
    <n v="100"/>
    <n v="85"/>
    <n v="70"/>
    <n v="55"/>
    <n v="40"/>
    <x v="10"/>
    <m/>
    <m/>
    <m/>
    <m/>
  </r>
  <r>
    <x v="3"/>
    <x v="9"/>
    <n v="327"/>
    <n v="133"/>
    <n v="194"/>
    <n v="5759100"/>
    <n v="5131915"/>
    <n v="837976.75"/>
    <n v="0.16328734010598381"/>
    <n v="4508150"/>
    <n v="458910"/>
    <n v="164855"/>
    <n v="100"/>
    <n v="85"/>
    <n v="70"/>
    <n v="55"/>
    <n v="40"/>
    <x v="11"/>
    <m/>
    <m/>
    <m/>
    <m/>
  </r>
  <r>
    <x v="2"/>
    <x v="7"/>
    <n v="367"/>
    <n v="144"/>
    <n v="223"/>
    <n v="6712900"/>
    <n v="6075745"/>
    <n v="980884.5"/>
    <n v="0.16144267081650071"/>
    <n v="5388300"/>
    <n v="503750"/>
    <n v="183695"/>
    <n v="100"/>
    <n v="85"/>
    <n v="70"/>
    <n v="55"/>
    <n v="40"/>
    <x v="12"/>
    <m/>
    <m/>
    <m/>
    <m/>
  </r>
  <r>
    <x v="3"/>
    <x v="6"/>
    <n v="300"/>
    <n v="103"/>
    <n v="197"/>
    <n v="5678300"/>
    <n v="5127250"/>
    <n v="820359.85"/>
    <n v="0.15999997074455119"/>
    <n v="4593350"/>
    <n v="368725"/>
    <n v="165175"/>
    <n v="100"/>
    <n v="85"/>
    <n v="70"/>
    <n v="55"/>
    <n v="40"/>
    <x v="13"/>
    <m/>
    <m/>
    <m/>
    <m/>
  </r>
  <r>
    <x v="2"/>
    <x v="2"/>
    <n v="304"/>
    <n v="115"/>
    <n v="189"/>
    <n v="5884900"/>
    <n v="5445540"/>
    <n v="890148.9"/>
    <n v="0.16346384380612389"/>
    <n v="4826100"/>
    <n v="421320"/>
    <n v="198120"/>
    <n v="100"/>
    <n v="85"/>
    <n v="70"/>
    <n v="55"/>
    <n v="40"/>
    <x v="9"/>
    <m/>
    <m/>
    <m/>
    <m/>
  </r>
  <r>
    <x v="0"/>
    <x v="4"/>
    <n v="324"/>
    <n v="125"/>
    <n v="200"/>
    <n v="6598200"/>
    <n v="5967010"/>
    <n v="934406.8"/>
    <n v="0.1565954808187015"/>
    <n v="5392800"/>
    <n v="402515"/>
    <n v="171695"/>
    <n v="100"/>
    <n v="85"/>
    <n v="70"/>
    <n v="55"/>
    <n v="40"/>
    <x v="14"/>
    <m/>
    <m/>
    <m/>
    <m/>
  </r>
  <r>
    <x v="3"/>
    <x v="5"/>
    <n v="332"/>
    <n v="134"/>
    <n v="199"/>
    <n v="7005900"/>
    <n v="6356015"/>
    <n v="974661.95"/>
    <n v="0.1533448158948649"/>
    <n v="5819500"/>
    <n v="349360"/>
    <n v="187155"/>
    <n v="100"/>
    <n v="85"/>
    <n v="70"/>
    <n v="55"/>
    <n v="40"/>
    <x v="15"/>
    <m/>
    <m/>
    <m/>
    <m/>
  </r>
  <r>
    <x v="2"/>
    <x v="0"/>
    <n v="310"/>
    <n v="129"/>
    <n v="181"/>
    <n v="5852000"/>
    <n v="5285335"/>
    <n v="861818.9"/>
    <n v="0.16305851946943761"/>
    <n v="4716800"/>
    <n v="394565"/>
    <n v="173970"/>
    <n v="100"/>
    <n v="85"/>
    <n v="70"/>
    <n v="55"/>
    <n v="40"/>
    <x v="16"/>
    <m/>
    <m/>
    <m/>
    <m/>
  </r>
  <r>
    <x v="1"/>
    <x v="8"/>
    <n v="358"/>
    <n v="137"/>
    <n v="221"/>
    <n v="6352800"/>
    <n v="5746495"/>
    <n v="929808.25"/>
    <n v="0.16180441295085091"/>
    <n v="5102400"/>
    <n v="435515"/>
    <n v="208580"/>
    <n v="100"/>
    <n v="85"/>
    <n v="70"/>
    <n v="55"/>
    <n v="40"/>
    <x v="17"/>
    <m/>
    <m/>
    <m/>
    <m/>
  </r>
  <r>
    <x v="2"/>
    <x v="1"/>
    <n v="323"/>
    <n v="135"/>
    <n v="188"/>
    <n v="7040400"/>
    <n v="6365225"/>
    <n v="998393.75"/>
    <n v="0.156851289624483"/>
    <n v="5789300"/>
    <n v="406600"/>
    <n v="169325"/>
    <n v="100"/>
    <n v="85"/>
    <n v="70"/>
    <n v="55"/>
    <n v="40"/>
    <x v="18"/>
    <m/>
    <m/>
    <m/>
    <m/>
  </r>
  <r>
    <x v="3"/>
    <x v="3"/>
    <n v="325"/>
    <n v="129"/>
    <n v="196"/>
    <n v="6380100"/>
    <n v="5857195"/>
    <n v="937244.35"/>
    <n v="0.16001590351695649"/>
    <n v="5252500"/>
    <n v="419380"/>
    <n v="185315"/>
    <n v="100"/>
    <n v="85"/>
    <n v="70"/>
    <n v="55"/>
    <n v="40"/>
    <x v="14"/>
    <m/>
    <m/>
    <m/>
    <m/>
  </r>
  <r>
    <x v="2"/>
    <x v="9"/>
    <n v="322"/>
    <n v="144"/>
    <n v="178"/>
    <n v="6216300"/>
    <n v="5690880"/>
    <n v="894655.6"/>
    <n v="0.15720865665766981"/>
    <n v="5117400"/>
    <n v="418515"/>
    <n v="154965"/>
    <n v="100"/>
    <n v="85"/>
    <n v="70"/>
    <n v="55"/>
    <n v="40"/>
    <x v="19"/>
    <m/>
    <m/>
    <m/>
    <m/>
  </r>
  <r>
    <x v="0"/>
    <x v="7"/>
    <n v="289"/>
    <n v="102"/>
    <n v="187"/>
    <n v="5405900"/>
    <n v="4908865"/>
    <n v="804795.25"/>
    <n v="0.16394731776082661"/>
    <n v="4346650"/>
    <n v="386190"/>
    <n v="176025"/>
    <n v="100"/>
    <n v="85"/>
    <n v="70"/>
    <n v="55"/>
    <n v="40"/>
    <x v="20"/>
    <m/>
    <m/>
    <m/>
    <m/>
  </r>
  <r>
    <x v="0"/>
    <x v="9"/>
    <n v="286"/>
    <n v="102"/>
    <n v="186"/>
    <n v="4893700"/>
    <n v="4435675"/>
    <n v="738190.3"/>
    <n v="0.16642118730520161"/>
    <n v="3896750"/>
    <n v="368160"/>
    <n v="170765"/>
    <n v="100"/>
    <n v="85"/>
    <n v="70"/>
    <n v="55"/>
    <n v="40"/>
    <x v="0"/>
    <m/>
    <m/>
    <m/>
    <m/>
  </r>
  <r>
    <x v="2"/>
    <x v="4"/>
    <n v="310"/>
    <n v="119"/>
    <n v="191"/>
    <n v="6275900"/>
    <n v="5717635"/>
    <n v="925881.55"/>
    <n v="0.16193435747472509"/>
    <n v="5033150"/>
    <n v="489185"/>
    <n v="195300"/>
    <n v="100"/>
    <n v="85"/>
    <n v="70"/>
    <n v="55"/>
    <n v="40"/>
    <x v="16"/>
    <m/>
    <m/>
    <m/>
    <m/>
  </r>
  <r>
    <x v="3"/>
    <x v="8"/>
    <n v="330"/>
    <n v="130"/>
    <n v="202"/>
    <n v="7145300"/>
    <n v="6515220"/>
    <n v="1015895.9"/>
    <n v="0.155926568864904"/>
    <n v="5951350"/>
    <n v="324900"/>
    <n v="238970"/>
    <n v="100"/>
    <n v="85"/>
    <n v="70"/>
    <n v="55"/>
    <n v="40"/>
    <x v="21"/>
    <m/>
    <m/>
    <m/>
    <m/>
  </r>
  <r>
    <x v="2"/>
    <x v="8"/>
    <n v="312"/>
    <n v="117"/>
    <n v="195"/>
    <n v="6100000"/>
    <n v="5499920"/>
    <n v="882524.3"/>
    <n v="0.16046129761887451"/>
    <n v="4885950"/>
    <n v="444025"/>
    <n v="169945"/>
    <n v="100"/>
    <n v="85"/>
    <n v="70"/>
    <n v="55"/>
    <n v="40"/>
    <x v="22"/>
    <m/>
    <m/>
    <m/>
    <m/>
  </r>
  <r>
    <x v="1"/>
    <x v="4"/>
    <n v="284"/>
    <n v="111"/>
    <n v="176"/>
    <n v="5194100"/>
    <n v="4768630"/>
    <n v="788904"/>
    <n v="0.1654361944625605"/>
    <n v="4225650"/>
    <n v="321185"/>
    <n v="221795"/>
    <n v="100"/>
    <n v="85"/>
    <n v="70"/>
    <n v="55"/>
    <n v="40"/>
    <x v="23"/>
    <m/>
    <m/>
    <m/>
    <m/>
  </r>
  <r>
    <x v="3"/>
    <x v="1"/>
    <n v="315"/>
    <n v="126"/>
    <n v="189"/>
    <n v="6861400"/>
    <n v="6130225"/>
    <n v="954920.8"/>
    <n v="0.1557725532097109"/>
    <n v="5606300"/>
    <n v="356915"/>
    <n v="167010"/>
    <n v="100"/>
    <n v="85"/>
    <n v="70"/>
    <n v="55"/>
    <n v="40"/>
    <x v="24"/>
    <m/>
    <m/>
    <m/>
    <m/>
  </r>
  <r>
    <x v="2"/>
    <x v="10"/>
    <n v="294"/>
    <n v="114"/>
    <n v="180"/>
    <n v="6058600"/>
    <n v="5492880"/>
    <n v="855303.45"/>
    <n v="0.15571129352907759"/>
    <n v="4985400"/>
    <n v="303525"/>
    <n v="203955"/>
    <n v="100"/>
    <n v="85"/>
    <n v="70"/>
    <n v="55"/>
    <n v="40"/>
    <x v="25"/>
    <m/>
    <m/>
    <m/>
    <m/>
  </r>
  <r>
    <x v="3"/>
    <x v="2"/>
    <n v="305"/>
    <n v="128"/>
    <n v="177"/>
    <n v="6088800"/>
    <n v="5477670"/>
    <n v="859194.15"/>
    <n v="0.15685394519932749"/>
    <n v="4870550"/>
    <n v="443475"/>
    <n v="163645"/>
    <n v="100"/>
    <n v="85"/>
    <n v="70"/>
    <n v="55"/>
    <n v="40"/>
    <x v="26"/>
    <m/>
    <m/>
    <m/>
    <m/>
  </r>
  <r>
    <x v="2"/>
    <x v="6"/>
    <n v="278"/>
    <n v="108"/>
    <n v="170"/>
    <n v="4370300"/>
    <n v="3945465"/>
    <n v="691793.75"/>
    <n v="0.1753389651156454"/>
    <n v="3313400"/>
    <n v="473920"/>
    <n v="158145"/>
    <n v="100"/>
    <n v="85"/>
    <n v="70"/>
    <n v="55"/>
    <n v="40"/>
    <x v="27"/>
    <m/>
    <m/>
    <m/>
    <m/>
  </r>
  <r>
    <x v="0"/>
    <x v="5"/>
    <n v="328"/>
    <n v="141"/>
    <n v="188"/>
    <n v="6804600"/>
    <n v="6183960"/>
    <n v="979697.1"/>
    <n v="0.15842552345099259"/>
    <n v="5588650"/>
    <n v="360380"/>
    <n v="234930"/>
    <n v="100"/>
    <n v="85"/>
    <n v="70"/>
    <n v="55"/>
    <n v="40"/>
    <x v="28"/>
    <m/>
    <m/>
    <m/>
    <m/>
  </r>
  <r>
    <x v="0"/>
    <x v="2"/>
    <n v="316"/>
    <n v="114"/>
    <n v="203"/>
    <n v="6816100"/>
    <n v="6202315"/>
    <n v="967756.75"/>
    <n v="0.15603153822403409"/>
    <n v="5596350"/>
    <n v="445860"/>
    <n v="160105"/>
    <n v="100"/>
    <n v="85"/>
    <n v="70"/>
    <n v="55"/>
    <n v="40"/>
    <x v="29"/>
    <m/>
    <m/>
    <m/>
    <m/>
  </r>
  <r>
    <x v="1"/>
    <x v="9"/>
    <n v="354"/>
    <n v="131"/>
    <n v="223"/>
    <n v="6172000"/>
    <n v="5636290"/>
    <n v="925464.6"/>
    <n v="0.16419747741865659"/>
    <n v="5031700"/>
    <n v="382540"/>
    <n v="222050"/>
    <n v="100"/>
    <n v="85"/>
    <n v="70"/>
    <n v="55"/>
    <n v="40"/>
    <x v="30"/>
    <m/>
    <m/>
    <m/>
    <m/>
  </r>
  <r>
    <x v="0"/>
    <x v="10"/>
    <n v="287"/>
    <n v="112"/>
    <n v="176"/>
    <n v="5729800"/>
    <n v="5287310"/>
    <n v="834636.65"/>
    <n v="0.15785657546086759"/>
    <n v="4788050"/>
    <n v="366910"/>
    <n v="132350"/>
    <n v="100"/>
    <n v="85"/>
    <n v="70"/>
    <n v="55"/>
    <n v="40"/>
    <x v="0"/>
    <m/>
    <m/>
    <m/>
    <m/>
  </r>
  <r>
    <x v="1"/>
    <x v="11"/>
    <n v="321"/>
    <n v="130"/>
    <n v="193"/>
    <n v="6481100"/>
    <n v="5838570"/>
    <n v="935759.55"/>
    <n v="0.16027204435332629"/>
    <n v="5241750"/>
    <n v="397085"/>
    <n v="199735"/>
    <n v="100"/>
    <n v="85"/>
    <n v="70"/>
    <n v="55"/>
    <n v="40"/>
    <x v="18"/>
    <m/>
    <m/>
    <m/>
    <m/>
  </r>
  <r>
    <x v="3"/>
    <x v="11"/>
    <n v="312"/>
    <n v="121"/>
    <n v="192"/>
    <n v="6816700"/>
    <n v="6155025"/>
    <n v="956780.3"/>
    <n v="0.15544702093005311"/>
    <n v="5577050"/>
    <n v="398650"/>
    <n v="179325"/>
    <n v="100"/>
    <n v="85"/>
    <n v="70"/>
    <n v="55"/>
    <n v="40"/>
    <x v="1"/>
    <m/>
    <m/>
    <m/>
    <m/>
  </r>
  <r>
    <x v="3"/>
    <x v="0"/>
    <n v="294"/>
    <n v="119"/>
    <n v="175"/>
    <n v="6006400"/>
    <n v="5444145"/>
    <n v="858582.7"/>
    <n v="0.157707537179851"/>
    <n v="4887100"/>
    <n v="385990"/>
    <n v="171055"/>
    <n v="100"/>
    <n v="85"/>
    <n v="70"/>
    <n v="55"/>
    <n v="40"/>
    <x v="25"/>
    <m/>
    <m/>
    <m/>
    <m/>
  </r>
  <r>
    <x v="1"/>
    <x v="0"/>
    <n v="291"/>
    <n v="108"/>
    <n v="183"/>
    <n v="4335900"/>
    <n v="3908850"/>
    <n v="691495.05"/>
    <n v="0.17690498484208911"/>
    <n v="3322150"/>
    <n v="379730"/>
    <n v="206970"/>
    <n v="100"/>
    <n v="85"/>
    <n v="70"/>
    <n v="55"/>
    <n v="40"/>
    <x v="31"/>
    <m/>
    <m/>
    <m/>
    <m/>
  </r>
  <r>
    <x v="0"/>
    <x v="11"/>
    <n v="291"/>
    <n v="119"/>
    <n v="172"/>
    <n v="4800100"/>
    <n v="4324080"/>
    <n v="740438.35"/>
    <n v="0.17123604327394501"/>
    <n v="3708050"/>
    <n v="401535"/>
    <n v="214495"/>
    <n v="100"/>
    <n v="85"/>
    <n v="70"/>
    <n v="55"/>
    <n v="40"/>
    <x v="31"/>
    <m/>
    <m/>
    <m/>
    <m/>
  </r>
  <r>
    <x v="1"/>
    <x v="10"/>
    <n v="342"/>
    <n v="136"/>
    <n v="206"/>
    <n v="8057000"/>
    <n v="7223160"/>
    <n v="1111315.8500000001"/>
    <n v="0.15385452488938359"/>
    <n v="6553250"/>
    <n v="504830"/>
    <n v="165080"/>
    <n v="100"/>
    <n v="85"/>
    <n v="70"/>
    <n v="55"/>
    <n v="40"/>
    <x v="32"/>
    <m/>
    <m/>
    <m/>
    <m/>
  </r>
  <r>
    <x v="0"/>
    <x v="3"/>
    <n v="280"/>
    <n v="113"/>
    <n v="167"/>
    <n v="5802500"/>
    <n v="5297440"/>
    <n v="842208.55"/>
    <n v="0.15898406588842909"/>
    <n v="4771800"/>
    <n v="383230"/>
    <n v="142410"/>
    <n v="100"/>
    <n v="85"/>
    <n v="70"/>
    <n v="55"/>
    <n v="40"/>
    <x v="33"/>
    <m/>
    <m/>
    <m/>
    <m/>
  </r>
  <r>
    <x v="1"/>
    <x v="3"/>
    <n v="320"/>
    <n v="132"/>
    <n v="189"/>
    <n v="6272700"/>
    <n v="5761060"/>
    <n v="944537.25"/>
    <n v="0.1639519897379996"/>
    <n v="5092900"/>
    <n v="486565"/>
    <n v="181595"/>
    <n v="100"/>
    <n v="85"/>
    <n v="70"/>
    <n v="55"/>
    <n v="40"/>
    <x v="5"/>
    <m/>
    <m/>
    <m/>
    <m/>
  </r>
  <r>
    <x v="1"/>
    <x v="6"/>
    <n v="303"/>
    <n v="114"/>
    <n v="189"/>
    <n v="6839200"/>
    <n v="6152050"/>
    <n v="952341.6"/>
    <n v="0.15480069245210951"/>
    <n v="5545300"/>
    <n v="418220"/>
    <n v="188530"/>
    <n v="100"/>
    <n v="85"/>
    <n v="70"/>
    <n v="55"/>
    <n v="40"/>
    <x v="34"/>
    <m/>
    <m/>
    <m/>
    <m/>
  </r>
  <r>
    <x v="2"/>
    <x v="11"/>
    <n v="320"/>
    <n v="127"/>
    <n v="194"/>
    <n v="6396000"/>
    <n v="5823165"/>
    <n v="911933.6"/>
    <n v="0.15660445822847199"/>
    <n v="5247900"/>
    <n v="410235"/>
    <n v="165030"/>
    <n v="100"/>
    <n v="85"/>
    <n v="70"/>
    <n v="55"/>
    <n v="40"/>
    <x v="5"/>
    <m/>
    <m/>
    <m/>
    <m/>
  </r>
  <r>
    <x v="0"/>
    <x v="1"/>
    <n v="303"/>
    <n v="128"/>
    <n v="176"/>
    <n v="7071300"/>
    <n v="6346630"/>
    <n v="975388.1"/>
    <n v="0.15368598768165151"/>
    <n v="5819800"/>
    <n v="350475"/>
    <n v="176355"/>
    <n v="100"/>
    <n v="85"/>
    <n v="70"/>
    <n v="55"/>
    <n v="40"/>
    <x v="9"/>
    <m/>
    <m/>
    <m/>
    <m/>
  </r>
  <r>
    <x v="3"/>
    <x v="10"/>
    <n v="304"/>
    <n v="105"/>
    <n v="199"/>
    <n v="7205000"/>
    <n v="6605125"/>
    <n v="1014099.65"/>
    <n v="0.153532242009046"/>
    <n v="6039050"/>
    <n v="405205"/>
    <n v="160870"/>
    <n v="100"/>
    <n v="85"/>
    <n v="70"/>
    <n v="55"/>
    <n v="40"/>
    <x v="9"/>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2024"/>
    <x v="0"/>
    <n v="288"/>
    <n v="122"/>
    <n v="166"/>
    <n v="6155400"/>
    <n v="5550710"/>
    <n v="865920.85"/>
    <n v="0.15600181778547251"/>
    <n v="4997850"/>
    <n v="391175"/>
    <n v="161685"/>
    <n v="100"/>
    <n v="85"/>
    <n v="70"/>
    <n v="55"/>
    <n v="40"/>
    <n v="288"/>
  </r>
  <r>
    <n v="2021"/>
    <x v="1"/>
    <n v="312"/>
    <n v="124"/>
    <n v="189"/>
    <n v="5816200"/>
    <n v="5358160"/>
    <n v="882449.9"/>
    <n v="0.16469271167714289"/>
    <n v="4650000"/>
    <n v="490145"/>
    <n v="218015"/>
    <n v="100"/>
    <n v="85"/>
    <n v="70"/>
    <n v="55"/>
    <n v="40"/>
    <n v="313"/>
  </r>
  <r>
    <n v="2021"/>
    <x v="2"/>
    <n v="318"/>
    <n v="125"/>
    <n v="193"/>
    <n v="7202300"/>
    <n v="6492445"/>
    <n v="1002609.2"/>
    <n v="0.15442706099166029"/>
    <n v="5937700"/>
    <n v="375385"/>
    <n v="179360"/>
    <n v="100"/>
    <n v="85"/>
    <n v="70"/>
    <n v="55"/>
    <n v="40"/>
    <n v="318"/>
  </r>
  <r>
    <n v="2022"/>
    <x v="3"/>
    <n v="291"/>
    <n v="105"/>
    <n v="187"/>
    <n v="5691900"/>
    <n v="5161205"/>
    <n v="838084.9"/>
    <n v="0.1623816337463829"/>
    <n v="4558400"/>
    <n v="406195"/>
    <n v="196610"/>
    <n v="100"/>
    <n v="85"/>
    <n v="70"/>
    <n v="55"/>
    <n v="40"/>
    <n v="292"/>
  </r>
  <r>
    <n v="2023"/>
    <x v="4"/>
    <n v="323"/>
    <n v="139"/>
    <n v="185"/>
    <n v="5890000"/>
    <n v="5334450"/>
    <n v="858982.85"/>
    <n v="0.16102556964635531"/>
    <n v="4741850"/>
    <n v="416330"/>
    <n v="176270"/>
    <n v="100"/>
    <n v="85"/>
    <n v="70"/>
    <n v="55"/>
    <n v="40"/>
    <n v="324"/>
  </r>
  <r>
    <n v="2021"/>
    <x v="5"/>
    <n v="321"/>
    <n v="131"/>
    <n v="190"/>
    <n v="6763200"/>
    <n v="6164305"/>
    <n v="979365.2"/>
    <n v="0.1588768239079669"/>
    <n v="5515500"/>
    <n v="431060"/>
    <n v="217745"/>
    <n v="100"/>
    <n v="85"/>
    <n v="70"/>
    <n v="55"/>
    <n v="40"/>
    <n v="321"/>
  </r>
  <r>
    <n v="2024"/>
    <x v="6"/>
    <n v="302"/>
    <n v="127"/>
    <n v="175"/>
    <n v="6235300"/>
    <n v="5649445"/>
    <n v="887316.15"/>
    <n v="0.15706253446134971"/>
    <n v="5103300"/>
    <n v="332020"/>
    <n v="214125"/>
    <n v="100"/>
    <n v="85"/>
    <n v="70"/>
    <n v="55"/>
    <n v="40"/>
    <n v="302"/>
  </r>
  <r>
    <n v="2021"/>
    <x v="7"/>
    <n v="328"/>
    <n v="132"/>
    <n v="196"/>
    <n v="8346100"/>
    <n v="7481155"/>
    <n v="1134051.8"/>
    <n v="0.15158779626942631"/>
    <n v="6902300"/>
    <n v="420610"/>
    <n v="158245"/>
    <n v="100"/>
    <n v="85"/>
    <n v="70"/>
    <n v="55"/>
    <n v="40"/>
    <n v="328"/>
  </r>
  <r>
    <n v="2024"/>
    <x v="8"/>
    <n v="298"/>
    <n v="129"/>
    <n v="172"/>
    <n v="6816100"/>
    <n v="6133095"/>
    <n v="947951.5"/>
    <n v="0.15456331591146069"/>
    <n v="5609950"/>
    <n v="350935"/>
    <n v="172210"/>
    <n v="100"/>
    <n v="85"/>
    <n v="70"/>
    <n v="55"/>
    <n v="40"/>
    <n v="301"/>
  </r>
  <r>
    <n v="2022"/>
    <x v="5"/>
    <n v="303"/>
    <n v="125"/>
    <n v="179"/>
    <n v="6826400"/>
    <n v="6139300"/>
    <n v="955947.65"/>
    <n v="0.15570955157754141"/>
    <n v="5577900"/>
    <n v="417875"/>
    <n v="143525"/>
    <n v="100"/>
    <n v="85"/>
    <n v="70"/>
    <n v="55"/>
    <n v="40"/>
    <n v="304"/>
  </r>
  <r>
    <n v="2023"/>
    <x v="7"/>
    <n v="330"/>
    <n v="137"/>
    <n v="193"/>
    <n v="5696400"/>
    <n v="5233710"/>
    <n v="864191.35"/>
    <n v="0.16512022064653939"/>
    <n v="4528750"/>
    <n v="514975"/>
    <n v="189985"/>
    <n v="100"/>
    <n v="85"/>
    <n v="70"/>
    <n v="55"/>
    <n v="40"/>
    <n v="330"/>
  </r>
  <r>
    <n v="2023"/>
    <x v="9"/>
    <n v="327"/>
    <n v="133"/>
    <n v="194"/>
    <n v="5759100"/>
    <n v="5131915"/>
    <n v="837976.75"/>
    <n v="0.16328734010598381"/>
    <n v="4508150"/>
    <n v="458910"/>
    <n v="164855"/>
    <n v="100"/>
    <n v="85"/>
    <n v="70"/>
    <n v="55"/>
    <n v="40"/>
    <n v="327"/>
  </r>
  <r>
    <n v="2022"/>
    <x v="7"/>
    <n v="367"/>
    <n v="144"/>
    <n v="223"/>
    <n v="6712900"/>
    <n v="6075745"/>
    <n v="980884.5"/>
    <n v="0.16144267081650071"/>
    <n v="5388300"/>
    <n v="503750"/>
    <n v="183695"/>
    <n v="100"/>
    <n v="85"/>
    <n v="70"/>
    <n v="55"/>
    <n v="40"/>
    <n v="367"/>
  </r>
  <r>
    <n v="2023"/>
    <x v="6"/>
    <n v="300"/>
    <n v="103"/>
    <n v="197"/>
    <n v="5678300"/>
    <n v="5127250"/>
    <n v="820359.85"/>
    <n v="0.15999997074455119"/>
    <n v="4593350"/>
    <n v="368725"/>
    <n v="165175"/>
    <n v="100"/>
    <n v="85"/>
    <n v="70"/>
    <n v="55"/>
    <n v="40"/>
    <n v="300"/>
  </r>
  <r>
    <n v="2022"/>
    <x v="2"/>
    <n v="304"/>
    <n v="115"/>
    <n v="189"/>
    <n v="5884900"/>
    <n v="5445540"/>
    <n v="890148.9"/>
    <n v="0.16346384380612389"/>
    <n v="4826100"/>
    <n v="421320"/>
    <n v="198120"/>
    <n v="100"/>
    <n v="85"/>
    <n v="70"/>
    <n v="55"/>
    <n v="40"/>
    <n v="304"/>
  </r>
  <r>
    <n v="2024"/>
    <x v="4"/>
    <n v="324"/>
    <n v="125"/>
    <n v="200"/>
    <n v="6598200"/>
    <n v="5967010"/>
    <n v="934406.8"/>
    <n v="0.1565954808187015"/>
    <n v="5392800"/>
    <n v="402515"/>
    <n v="171695"/>
    <n v="100"/>
    <n v="85"/>
    <n v="70"/>
    <n v="55"/>
    <n v="40"/>
    <n v="325"/>
  </r>
  <r>
    <n v="2023"/>
    <x v="5"/>
    <n v="332"/>
    <n v="134"/>
    <n v="199"/>
    <n v="7005900"/>
    <n v="6356015"/>
    <n v="974661.95"/>
    <n v="0.1533448158948649"/>
    <n v="5819500"/>
    <n v="349360"/>
    <n v="187155"/>
    <n v="100"/>
    <n v="85"/>
    <n v="70"/>
    <n v="55"/>
    <n v="40"/>
    <n v="333"/>
  </r>
  <r>
    <n v="2022"/>
    <x v="0"/>
    <n v="310"/>
    <n v="129"/>
    <n v="181"/>
    <n v="5852000"/>
    <n v="5285335"/>
    <n v="861818.9"/>
    <n v="0.16305851946943761"/>
    <n v="4716800"/>
    <n v="394565"/>
    <n v="173970"/>
    <n v="100"/>
    <n v="85"/>
    <n v="70"/>
    <n v="55"/>
    <n v="40"/>
    <n v="310"/>
  </r>
  <r>
    <n v="2021"/>
    <x v="8"/>
    <n v="358"/>
    <n v="137"/>
    <n v="221"/>
    <n v="6352800"/>
    <n v="5746495"/>
    <n v="929808.25"/>
    <n v="0.16180441295085091"/>
    <n v="5102400"/>
    <n v="435515"/>
    <n v="208580"/>
    <n v="100"/>
    <n v="85"/>
    <n v="70"/>
    <n v="55"/>
    <n v="40"/>
    <n v="358"/>
  </r>
  <r>
    <n v="2022"/>
    <x v="1"/>
    <n v="323"/>
    <n v="135"/>
    <n v="188"/>
    <n v="7040400"/>
    <n v="6365225"/>
    <n v="998393.75"/>
    <n v="0.156851289624483"/>
    <n v="5789300"/>
    <n v="406600"/>
    <n v="169325"/>
    <n v="100"/>
    <n v="85"/>
    <n v="70"/>
    <n v="55"/>
    <n v="40"/>
    <n v="323"/>
  </r>
  <r>
    <n v="2023"/>
    <x v="3"/>
    <n v="325"/>
    <n v="129"/>
    <n v="196"/>
    <n v="6380100"/>
    <n v="5857195"/>
    <n v="937244.35"/>
    <n v="0.16001590351695649"/>
    <n v="5252500"/>
    <n v="419380"/>
    <n v="185315"/>
    <n v="100"/>
    <n v="85"/>
    <n v="70"/>
    <n v="55"/>
    <n v="40"/>
    <n v="325"/>
  </r>
  <r>
    <n v="2022"/>
    <x v="9"/>
    <n v="322"/>
    <n v="144"/>
    <n v="178"/>
    <n v="6216300"/>
    <n v="5690880"/>
    <n v="894655.6"/>
    <n v="0.15720865665766981"/>
    <n v="5117400"/>
    <n v="418515"/>
    <n v="154965"/>
    <n v="100"/>
    <n v="85"/>
    <n v="70"/>
    <n v="55"/>
    <n v="40"/>
    <n v="322"/>
  </r>
  <r>
    <n v="2024"/>
    <x v="7"/>
    <n v="289"/>
    <n v="102"/>
    <n v="187"/>
    <n v="5405900"/>
    <n v="4908865"/>
    <n v="804795.25"/>
    <n v="0.16394731776082661"/>
    <n v="4346650"/>
    <n v="386190"/>
    <n v="176025"/>
    <n v="100"/>
    <n v="85"/>
    <n v="70"/>
    <n v="55"/>
    <n v="40"/>
    <n v="289"/>
  </r>
  <r>
    <n v="2024"/>
    <x v="9"/>
    <n v="286"/>
    <n v="102"/>
    <n v="186"/>
    <n v="4893700"/>
    <n v="4435675"/>
    <n v="738190.3"/>
    <n v="0.16642118730520161"/>
    <n v="3896750"/>
    <n v="368160"/>
    <n v="170765"/>
    <n v="100"/>
    <n v="85"/>
    <n v="70"/>
    <n v="55"/>
    <n v="40"/>
    <n v="288"/>
  </r>
  <r>
    <n v="2022"/>
    <x v="4"/>
    <n v="310"/>
    <n v="119"/>
    <n v="191"/>
    <n v="6275900"/>
    <n v="5717635"/>
    <n v="925881.55"/>
    <n v="0.16193435747472509"/>
    <n v="5033150"/>
    <n v="489185"/>
    <n v="195300"/>
    <n v="100"/>
    <n v="85"/>
    <n v="70"/>
    <n v="55"/>
    <n v="40"/>
    <n v="310"/>
  </r>
  <r>
    <n v="2023"/>
    <x v="8"/>
    <n v="330"/>
    <n v="130"/>
    <n v="202"/>
    <n v="7145300"/>
    <n v="6515220"/>
    <n v="1015895.9"/>
    <n v="0.155926568864904"/>
    <n v="5951350"/>
    <n v="324900"/>
    <n v="238970"/>
    <n v="100"/>
    <n v="85"/>
    <n v="70"/>
    <n v="55"/>
    <n v="40"/>
    <n v="332"/>
  </r>
  <r>
    <n v="2022"/>
    <x v="8"/>
    <n v="312"/>
    <n v="117"/>
    <n v="195"/>
    <n v="6100000"/>
    <n v="5499920"/>
    <n v="882524.3"/>
    <n v="0.16046129761887451"/>
    <n v="4885950"/>
    <n v="444025"/>
    <n v="169945"/>
    <n v="100"/>
    <n v="85"/>
    <n v="70"/>
    <n v="55"/>
    <n v="40"/>
    <n v="312"/>
  </r>
  <r>
    <n v="2021"/>
    <x v="4"/>
    <n v="284"/>
    <n v="111"/>
    <n v="176"/>
    <n v="5194100"/>
    <n v="4768630"/>
    <n v="788904"/>
    <n v="0.1654361944625605"/>
    <n v="4225650"/>
    <n v="321185"/>
    <n v="221795"/>
    <n v="100"/>
    <n v="85"/>
    <n v="70"/>
    <n v="55"/>
    <n v="40"/>
    <n v="287"/>
  </r>
  <r>
    <n v="2023"/>
    <x v="1"/>
    <n v="315"/>
    <n v="126"/>
    <n v="189"/>
    <n v="6861400"/>
    <n v="6130225"/>
    <n v="954920.8"/>
    <n v="0.1557725532097109"/>
    <n v="5606300"/>
    <n v="356915"/>
    <n v="167010"/>
    <n v="100"/>
    <n v="85"/>
    <n v="70"/>
    <n v="55"/>
    <n v="40"/>
    <n v="315"/>
  </r>
  <r>
    <n v="2022"/>
    <x v="10"/>
    <n v="294"/>
    <n v="114"/>
    <n v="180"/>
    <n v="6058600"/>
    <n v="5492880"/>
    <n v="855303.45"/>
    <n v="0.15571129352907759"/>
    <n v="4985400"/>
    <n v="303525"/>
    <n v="203955"/>
    <n v="100"/>
    <n v="85"/>
    <n v="70"/>
    <n v="55"/>
    <n v="40"/>
    <n v="294"/>
  </r>
  <r>
    <n v="2023"/>
    <x v="2"/>
    <n v="305"/>
    <n v="128"/>
    <n v="177"/>
    <n v="6088800"/>
    <n v="5477670"/>
    <n v="859194.15"/>
    <n v="0.15685394519932749"/>
    <n v="4870550"/>
    <n v="443475"/>
    <n v="163645"/>
    <n v="100"/>
    <n v="85"/>
    <n v="70"/>
    <n v="55"/>
    <n v="40"/>
    <n v="305"/>
  </r>
  <r>
    <n v="2022"/>
    <x v="6"/>
    <n v="278"/>
    <n v="108"/>
    <n v="170"/>
    <n v="4370300"/>
    <n v="3945465"/>
    <n v="691793.75"/>
    <n v="0.1753389651156454"/>
    <n v="3313400"/>
    <n v="473920"/>
    <n v="158145"/>
    <n v="100"/>
    <n v="85"/>
    <n v="70"/>
    <n v="55"/>
    <n v="40"/>
    <n v="278"/>
  </r>
  <r>
    <n v="2024"/>
    <x v="5"/>
    <n v="328"/>
    <n v="141"/>
    <n v="188"/>
    <n v="6804600"/>
    <n v="6183960"/>
    <n v="979697.1"/>
    <n v="0.15842552345099259"/>
    <n v="5588650"/>
    <n v="360380"/>
    <n v="234930"/>
    <n v="100"/>
    <n v="85"/>
    <n v="70"/>
    <n v="55"/>
    <n v="40"/>
    <n v="329"/>
  </r>
  <r>
    <n v="2024"/>
    <x v="2"/>
    <n v="316"/>
    <n v="114"/>
    <n v="203"/>
    <n v="6816100"/>
    <n v="6202315"/>
    <n v="967756.75"/>
    <n v="0.15603153822403409"/>
    <n v="5596350"/>
    <n v="445860"/>
    <n v="160105"/>
    <n v="100"/>
    <n v="85"/>
    <n v="70"/>
    <n v="55"/>
    <n v="40"/>
    <n v="317"/>
  </r>
  <r>
    <n v="2021"/>
    <x v="9"/>
    <n v="354"/>
    <n v="131"/>
    <n v="223"/>
    <n v="6172000"/>
    <n v="5636290"/>
    <n v="925464.6"/>
    <n v="0.16419747741865659"/>
    <n v="5031700"/>
    <n v="382540"/>
    <n v="222050"/>
    <n v="100"/>
    <n v="85"/>
    <n v="70"/>
    <n v="55"/>
    <n v="40"/>
    <n v="354"/>
  </r>
  <r>
    <n v="2024"/>
    <x v="10"/>
    <n v="287"/>
    <n v="112"/>
    <n v="176"/>
    <n v="5729800"/>
    <n v="5287310"/>
    <n v="834636.65"/>
    <n v="0.15785657546086759"/>
    <n v="4788050"/>
    <n v="366910"/>
    <n v="132350"/>
    <n v="100"/>
    <n v="85"/>
    <n v="70"/>
    <n v="55"/>
    <n v="40"/>
    <n v="288"/>
  </r>
  <r>
    <n v="2021"/>
    <x v="11"/>
    <n v="321"/>
    <n v="130"/>
    <n v="193"/>
    <n v="6481100"/>
    <n v="5838570"/>
    <n v="935759.55"/>
    <n v="0.16027204435332629"/>
    <n v="5241750"/>
    <n v="397085"/>
    <n v="199735"/>
    <n v="100"/>
    <n v="85"/>
    <n v="70"/>
    <n v="55"/>
    <n v="40"/>
    <n v="323"/>
  </r>
  <r>
    <n v="2023"/>
    <x v="11"/>
    <n v="312"/>
    <n v="121"/>
    <n v="192"/>
    <n v="6816700"/>
    <n v="6155025"/>
    <n v="956780.3"/>
    <n v="0.15544702093005311"/>
    <n v="5577050"/>
    <n v="398650"/>
    <n v="179325"/>
    <n v="100"/>
    <n v="85"/>
    <n v="70"/>
    <n v="55"/>
    <n v="40"/>
    <n v="313"/>
  </r>
  <r>
    <n v="2023"/>
    <x v="0"/>
    <n v="294"/>
    <n v="119"/>
    <n v="175"/>
    <n v="6006400"/>
    <n v="5444145"/>
    <n v="858582.7"/>
    <n v="0.157707537179851"/>
    <n v="4887100"/>
    <n v="385990"/>
    <n v="171055"/>
    <n v="100"/>
    <n v="85"/>
    <n v="70"/>
    <n v="55"/>
    <n v="40"/>
    <n v="294"/>
  </r>
  <r>
    <n v="2021"/>
    <x v="0"/>
    <n v="291"/>
    <n v="108"/>
    <n v="183"/>
    <n v="4335900"/>
    <n v="3908850"/>
    <n v="691495.05"/>
    <n v="0.17690498484208911"/>
    <n v="3322150"/>
    <n v="379730"/>
    <n v="206970"/>
    <n v="100"/>
    <n v="85"/>
    <n v="70"/>
    <n v="55"/>
    <n v="40"/>
    <n v="291"/>
  </r>
  <r>
    <n v="2024"/>
    <x v="11"/>
    <n v="291"/>
    <n v="119"/>
    <n v="172"/>
    <n v="4800100"/>
    <n v="4324080"/>
    <n v="740438.35"/>
    <n v="0.17123604327394501"/>
    <n v="3708050"/>
    <n v="401535"/>
    <n v="214495"/>
    <n v="100"/>
    <n v="85"/>
    <n v="70"/>
    <n v="55"/>
    <n v="40"/>
    <n v="291"/>
  </r>
  <r>
    <n v="2021"/>
    <x v="10"/>
    <n v="342"/>
    <n v="136"/>
    <n v="206"/>
    <n v="8057000"/>
    <n v="7223160"/>
    <n v="1111315.8500000001"/>
    <n v="0.15385452488938359"/>
    <n v="6553250"/>
    <n v="504830"/>
    <n v="165080"/>
    <n v="100"/>
    <n v="85"/>
    <n v="70"/>
    <n v="55"/>
    <n v="40"/>
    <n v="342"/>
  </r>
  <r>
    <n v="2024"/>
    <x v="3"/>
    <n v="280"/>
    <n v="113"/>
    <n v="167"/>
    <n v="5802500"/>
    <n v="5297440"/>
    <n v="842208.55"/>
    <n v="0.15898406588842909"/>
    <n v="4771800"/>
    <n v="383230"/>
    <n v="142410"/>
    <n v="100"/>
    <n v="85"/>
    <n v="70"/>
    <n v="55"/>
    <n v="40"/>
    <n v="280"/>
  </r>
  <r>
    <n v="2021"/>
    <x v="3"/>
    <n v="320"/>
    <n v="132"/>
    <n v="189"/>
    <n v="6272700"/>
    <n v="5761060"/>
    <n v="944537.25"/>
    <n v="0.1639519897379996"/>
    <n v="5092900"/>
    <n v="486565"/>
    <n v="181595"/>
    <n v="100"/>
    <n v="85"/>
    <n v="70"/>
    <n v="55"/>
    <n v="40"/>
    <n v="321"/>
  </r>
  <r>
    <n v="2021"/>
    <x v="6"/>
    <n v="303"/>
    <n v="114"/>
    <n v="189"/>
    <n v="6839200"/>
    <n v="6152050"/>
    <n v="952341.6"/>
    <n v="0.15480069245210951"/>
    <n v="5545300"/>
    <n v="418220"/>
    <n v="188530"/>
    <n v="100"/>
    <n v="85"/>
    <n v="70"/>
    <n v="55"/>
    <n v="40"/>
    <n v="303"/>
  </r>
  <r>
    <n v="2022"/>
    <x v="11"/>
    <n v="320"/>
    <n v="127"/>
    <n v="194"/>
    <n v="6396000"/>
    <n v="5823165"/>
    <n v="911933.6"/>
    <n v="0.15660445822847199"/>
    <n v="5247900"/>
    <n v="410235"/>
    <n v="165030"/>
    <n v="100"/>
    <n v="85"/>
    <n v="70"/>
    <n v="55"/>
    <n v="40"/>
    <n v="321"/>
  </r>
  <r>
    <n v="2024"/>
    <x v="1"/>
    <n v="303"/>
    <n v="128"/>
    <n v="176"/>
    <n v="7071300"/>
    <n v="6346630"/>
    <n v="975388.1"/>
    <n v="0.15368598768165151"/>
    <n v="5819800"/>
    <n v="350475"/>
    <n v="176355"/>
    <n v="100"/>
    <n v="85"/>
    <n v="70"/>
    <n v="55"/>
    <n v="40"/>
    <n v="304"/>
  </r>
  <r>
    <n v="2023"/>
    <x v="10"/>
    <n v="304"/>
    <n v="105"/>
    <n v="199"/>
    <n v="7205000"/>
    <n v="6605125"/>
    <n v="1014099.65"/>
    <n v="0.153532242009046"/>
    <n v="6039050"/>
    <n v="405205"/>
    <n v="160870"/>
    <n v="100"/>
    <n v="85"/>
    <n v="70"/>
    <n v="55"/>
    <n v="40"/>
    <n v="3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C66A99-E4FA-4FF9-977E-F270575F4E3F}" name="PivotTable6"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18:O31" firstHeaderRow="1" firstDataRow="1" firstDataCol="1"/>
  <pivotFields count="18">
    <pivotField showAll="0"/>
    <pivotField axis="axisRow" showAll="0">
      <items count="13">
        <item x="5"/>
        <item x="0"/>
        <item x="1"/>
        <item x="4"/>
        <item x="11"/>
        <item x="10"/>
        <item x="7"/>
        <item x="9"/>
        <item x="8"/>
        <item x="2"/>
        <item x="6"/>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_Volum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2225EC-FCD9-4023-9F48-C036353CB4E0}" name="PivotTable4"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R2" firstHeaderRow="0" firstDataRow="1" firstDataCol="0"/>
  <pivotFields count="22">
    <pivotField showAll="0">
      <items count="5">
        <item x="1"/>
        <item x="2"/>
        <item x="3"/>
        <item x="0"/>
        <item t="default"/>
      </items>
    </pivotField>
    <pivotField showAll="0">
      <items count="13">
        <item x="5"/>
        <item x="0"/>
        <item x="1"/>
        <item x="4"/>
        <item x="11"/>
        <item x="10"/>
        <item x="7"/>
        <item x="9"/>
        <item x="8"/>
        <item x="2"/>
        <item x="6"/>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Sum of Level 1" fld="12" baseField="0" baseItem="0"/>
    <dataField name="Sum of Level 2" fld="13" baseField="0" baseItem="0"/>
    <dataField name="Sum of Level 3" fld="14" baseField="0" baseItem="0"/>
    <dataField name="Sum of Level 4" fld="15" baseField="0" baseItem="0"/>
    <dataField name="Sum of Level 5"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455043-4B4E-4FD5-9D4A-EF660F57BF8D}" name="PivotTable3"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J14" firstHeaderRow="0" firstDataRow="1" firstDataCol="1"/>
  <pivotFields count="22">
    <pivotField showAll="0">
      <items count="5">
        <item x="1"/>
        <item x="2"/>
        <item x="3"/>
        <item x="0"/>
        <item t="default"/>
      </items>
    </pivotField>
    <pivotField axis="axisRow" showAll="0">
      <items count="13">
        <item x="5"/>
        <item x="0"/>
        <item x="1"/>
        <item x="4"/>
        <item x="11"/>
        <item x="10"/>
        <item x="7"/>
        <item x="9"/>
        <item x="8"/>
        <item x="2"/>
        <item x="6"/>
        <item x="3"/>
        <item t="default"/>
      </items>
    </pivotField>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Electronics" fld="9" baseField="0" baseItem="0"/>
    <dataField name="Sum of Fashion" fld="10" baseField="0" baseItem="0"/>
    <dataField name="Sum of Accessori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CB575D-8B5D-4433-BA35-77AAC87E3360}" name="PivotTable2"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E14" firstHeaderRow="0" firstDataRow="1" firstDataCol="1"/>
  <pivotFields count="22">
    <pivotField showAll="0">
      <items count="5">
        <item x="1"/>
        <item x="2"/>
        <item x="3"/>
        <item x="0"/>
        <item t="default"/>
      </items>
    </pivotField>
    <pivotField axis="axisRow" showAll="0">
      <items count="13">
        <item x="5"/>
        <item x="0"/>
        <item x="1"/>
        <item x="4"/>
        <item x="11"/>
        <item x="10"/>
        <item x="7"/>
        <item x="9"/>
        <item x="8"/>
        <item x="2"/>
        <item x="6"/>
        <item x="3"/>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6">
        <item x="27"/>
        <item x="33"/>
        <item x="23"/>
        <item x="0"/>
        <item x="20"/>
        <item x="31"/>
        <item x="3"/>
        <item x="25"/>
        <item x="13"/>
        <item x="8"/>
        <item x="6"/>
        <item x="34"/>
        <item x="9"/>
        <item x="26"/>
        <item x="16"/>
        <item x="22"/>
        <item x="1"/>
        <item x="24"/>
        <item x="29"/>
        <item x="2"/>
        <item x="5"/>
        <item x="19"/>
        <item x="18"/>
        <item x="4"/>
        <item x="14"/>
        <item x="11"/>
        <item x="7"/>
        <item x="28"/>
        <item x="10"/>
        <item x="21"/>
        <item x="15"/>
        <item x="32"/>
        <item x="30"/>
        <item x="17"/>
        <item x="12"/>
        <item t="default"/>
      </items>
    </pivotField>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Visitors" fld="2" baseField="0" baseItem="0"/>
    <dataField name="Sum of Returning_Buyers" fld="3" baseField="0" baseItem="0"/>
    <dataField name="Sum of New_Buyers" fld="4" baseField="0" baseItem="0"/>
    <dataField name="Sum of Buyer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7717EC4-74DF-4B9A-A74A-B68686D65152}" sourceName="Month">
  <pivotTables>
    <pivotTable tabId="3" name="PivotTable2"/>
    <pivotTable tabId="3" name="PivotTable3"/>
    <pivotTable tabId="3" name="PivotTable4"/>
  </pivotTables>
  <data>
    <tabular pivotCacheId="1251104480">
      <items count="12">
        <i x="5" s="1"/>
        <i x="0" s="1"/>
        <i x="1" s="1"/>
        <i x="4" s="1"/>
        <i x="11" s="1"/>
        <i x="10" s="1"/>
        <i x="7" s="1"/>
        <i x="9" s="1"/>
        <i x="8" s="1"/>
        <i x="2"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220FAAD-4DA7-41CD-893B-9349CFC310BC}" sourceName="Year">
  <pivotTables>
    <pivotTable tabId="3" name="PivotTable2"/>
    <pivotTable tabId="3" name="PivotTable3"/>
    <pivotTable tabId="3" name="PivotTable4"/>
  </pivotTables>
  <data>
    <tabular pivotCacheId="1251104480">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73E3BA5-67BC-416C-839B-82B309962E82}" cache="Slicer_Month" caption="Month" showCaption="0" style="SlicerStyleLight1 2 3 3" rowHeight="216000"/>
  <slicer name="Year" xr10:uid="{53F8E5A1-5012-4DE8-9DCE-A07FDC20BAF6}" cache="Slicer_Year" caption="Year" columnCount="2" showCaption="0" style="SlicerStyleLight1 2 3 3" rowHeight="57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9"/>
  <sheetViews>
    <sheetView workbookViewId="0">
      <selection activeCell="E12" sqref="E12"/>
    </sheetView>
  </sheetViews>
  <sheetFormatPr defaultRowHeight="14.4" x14ac:dyDescent="0.3"/>
  <cols>
    <col min="7" max="7" width="13.21875" customWidth="1"/>
  </cols>
  <sheetData>
    <row r="1" spans="1:22" x14ac:dyDescent="0.3">
      <c r="A1" s="1" t="s">
        <v>0</v>
      </c>
      <c r="B1" s="1" t="s">
        <v>1</v>
      </c>
      <c r="C1" s="1" t="s">
        <v>20</v>
      </c>
      <c r="D1" s="1" t="s">
        <v>21</v>
      </c>
      <c r="E1" s="1" t="s">
        <v>22</v>
      </c>
      <c r="F1" s="1" t="s">
        <v>2</v>
      </c>
      <c r="G1" s="1" t="s">
        <v>3</v>
      </c>
      <c r="H1" s="1" t="s">
        <v>4</v>
      </c>
      <c r="I1" s="1" t="s">
        <v>23</v>
      </c>
      <c r="J1" s="1" t="s">
        <v>8</v>
      </c>
      <c r="K1" s="1" t="s">
        <v>10</v>
      </c>
      <c r="L1" s="1" t="s">
        <v>6</v>
      </c>
      <c r="M1" s="1" t="s">
        <v>24</v>
      </c>
      <c r="N1" s="1" t="s">
        <v>25</v>
      </c>
      <c r="O1" s="1" t="s">
        <v>26</v>
      </c>
      <c r="P1" s="1" t="s">
        <v>27</v>
      </c>
      <c r="Q1" s="1" t="s">
        <v>28</v>
      </c>
      <c r="R1" s="1" t="s">
        <v>44</v>
      </c>
      <c r="S1" s="1"/>
      <c r="T1" s="1"/>
      <c r="U1" s="1"/>
      <c r="V1" s="1"/>
    </row>
    <row r="2" spans="1:22" x14ac:dyDescent="0.3">
      <c r="A2">
        <v>2024</v>
      </c>
      <c r="B2" t="s">
        <v>5</v>
      </c>
      <c r="C2">
        <v>288</v>
      </c>
      <c r="D2">
        <v>122</v>
      </c>
      <c r="E2">
        <v>166</v>
      </c>
      <c r="F2">
        <v>6155400</v>
      </c>
      <c r="G2">
        <v>5550710</v>
      </c>
      <c r="H2">
        <v>865920.85</v>
      </c>
      <c r="I2">
        <v>0.15600181778547251</v>
      </c>
      <c r="J2">
        <v>4997850</v>
      </c>
      <c r="K2">
        <v>391175</v>
      </c>
      <c r="L2">
        <v>161685</v>
      </c>
      <c r="M2">
        <v>100</v>
      </c>
      <c r="N2">
        <v>85</v>
      </c>
      <c r="O2">
        <v>70</v>
      </c>
      <c r="P2">
        <v>55</v>
      </c>
      <c r="Q2">
        <v>40</v>
      </c>
      <c r="R2">
        <f>D2+E2</f>
        <v>288</v>
      </c>
    </row>
    <row r="3" spans="1:22" x14ac:dyDescent="0.3">
      <c r="A3">
        <v>2021</v>
      </c>
      <c r="B3" t="s">
        <v>7</v>
      </c>
      <c r="C3">
        <v>312</v>
      </c>
      <c r="D3">
        <v>124</v>
      </c>
      <c r="E3">
        <v>189</v>
      </c>
      <c r="F3">
        <v>5816200</v>
      </c>
      <c r="G3">
        <v>5358160</v>
      </c>
      <c r="H3">
        <v>882449.9</v>
      </c>
      <c r="I3">
        <v>0.16469271167714289</v>
      </c>
      <c r="J3">
        <v>4650000</v>
      </c>
      <c r="K3">
        <v>490145</v>
      </c>
      <c r="L3">
        <v>218015</v>
      </c>
      <c r="M3">
        <v>100</v>
      </c>
      <c r="N3">
        <v>85</v>
      </c>
      <c r="O3">
        <v>70</v>
      </c>
      <c r="P3">
        <v>55</v>
      </c>
      <c r="Q3">
        <v>40</v>
      </c>
      <c r="R3">
        <f t="shared" ref="R3:R49" si="0">D3+E3</f>
        <v>313</v>
      </c>
    </row>
    <row r="4" spans="1:22" x14ac:dyDescent="0.3">
      <c r="A4">
        <v>2021</v>
      </c>
      <c r="B4" t="s">
        <v>9</v>
      </c>
      <c r="C4">
        <v>318</v>
      </c>
      <c r="D4">
        <v>125</v>
      </c>
      <c r="E4">
        <v>193</v>
      </c>
      <c r="F4">
        <v>7202300</v>
      </c>
      <c r="G4">
        <v>6492445</v>
      </c>
      <c r="H4">
        <v>1002609.2</v>
      </c>
      <c r="I4">
        <v>0.15442706099166029</v>
      </c>
      <c r="J4">
        <v>5937700</v>
      </c>
      <c r="K4">
        <v>375385</v>
      </c>
      <c r="L4">
        <v>179360</v>
      </c>
      <c r="M4">
        <v>100</v>
      </c>
      <c r="N4">
        <v>85</v>
      </c>
      <c r="O4">
        <v>70</v>
      </c>
      <c r="P4">
        <v>55</v>
      </c>
      <c r="Q4">
        <v>40</v>
      </c>
      <c r="R4">
        <f t="shared" si="0"/>
        <v>318</v>
      </c>
    </row>
    <row r="5" spans="1:22" x14ac:dyDescent="0.3">
      <c r="A5">
        <v>2022</v>
      </c>
      <c r="B5" t="s">
        <v>11</v>
      </c>
      <c r="C5">
        <v>291</v>
      </c>
      <c r="D5">
        <v>105</v>
      </c>
      <c r="E5">
        <v>187</v>
      </c>
      <c r="F5">
        <v>5691900</v>
      </c>
      <c r="G5">
        <v>5161205</v>
      </c>
      <c r="H5">
        <v>838084.9</v>
      </c>
      <c r="I5">
        <v>0.1623816337463829</v>
      </c>
      <c r="J5">
        <v>4558400</v>
      </c>
      <c r="K5">
        <v>406195</v>
      </c>
      <c r="L5">
        <v>196610</v>
      </c>
      <c r="M5">
        <v>100</v>
      </c>
      <c r="N5">
        <v>85</v>
      </c>
      <c r="O5">
        <v>70</v>
      </c>
      <c r="P5">
        <v>55</v>
      </c>
      <c r="Q5">
        <v>40</v>
      </c>
      <c r="R5">
        <f t="shared" si="0"/>
        <v>292</v>
      </c>
    </row>
    <row r="6" spans="1:22" x14ac:dyDescent="0.3">
      <c r="A6">
        <v>2023</v>
      </c>
      <c r="B6" t="s">
        <v>12</v>
      </c>
      <c r="C6">
        <v>323</v>
      </c>
      <c r="D6">
        <v>139</v>
      </c>
      <c r="E6">
        <v>185</v>
      </c>
      <c r="F6">
        <v>5890000</v>
      </c>
      <c r="G6">
        <v>5334450</v>
      </c>
      <c r="H6">
        <v>858982.85</v>
      </c>
      <c r="I6">
        <v>0.16102556964635531</v>
      </c>
      <c r="J6">
        <v>4741850</v>
      </c>
      <c r="K6">
        <v>416330</v>
      </c>
      <c r="L6">
        <v>176270</v>
      </c>
      <c r="M6">
        <v>100</v>
      </c>
      <c r="N6">
        <v>85</v>
      </c>
      <c r="O6">
        <v>70</v>
      </c>
      <c r="P6">
        <v>55</v>
      </c>
      <c r="Q6">
        <v>40</v>
      </c>
      <c r="R6">
        <f t="shared" si="0"/>
        <v>324</v>
      </c>
    </row>
    <row r="7" spans="1:22" x14ac:dyDescent="0.3">
      <c r="A7">
        <v>2021</v>
      </c>
      <c r="B7" t="s">
        <v>13</v>
      </c>
      <c r="C7">
        <v>321</v>
      </c>
      <c r="D7">
        <v>131</v>
      </c>
      <c r="E7">
        <v>190</v>
      </c>
      <c r="F7">
        <v>6763200</v>
      </c>
      <c r="G7">
        <v>6164305</v>
      </c>
      <c r="H7">
        <v>979365.2</v>
      </c>
      <c r="I7">
        <v>0.1588768239079669</v>
      </c>
      <c r="J7">
        <v>5515500</v>
      </c>
      <c r="K7">
        <v>431060</v>
      </c>
      <c r="L7">
        <v>217745</v>
      </c>
      <c r="M7">
        <v>100</v>
      </c>
      <c r="N7">
        <v>85</v>
      </c>
      <c r="O7">
        <v>70</v>
      </c>
      <c r="P7">
        <v>55</v>
      </c>
      <c r="Q7">
        <v>40</v>
      </c>
      <c r="R7">
        <f t="shared" si="0"/>
        <v>321</v>
      </c>
    </row>
    <row r="8" spans="1:22" x14ac:dyDescent="0.3">
      <c r="A8">
        <v>2024</v>
      </c>
      <c r="B8" t="s">
        <v>14</v>
      </c>
      <c r="C8">
        <v>302</v>
      </c>
      <c r="D8">
        <v>127</v>
      </c>
      <c r="E8">
        <v>175</v>
      </c>
      <c r="F8">
        <v>6235300</v>
      </c>
      <c r="G8">
        <v>5649445</v>
      </c>
      <c r="H8">
        <v>887316.15</v>
      </c>
      <c r="I8">
        <v>0.15706253446134971</v>
      </c>
      <c r="J8">
        <v>5103300</v>
      </c>
      <c r="K8">
        <v>332020</v>
      </c>
      <c r="L8">
        <v>214125</v>
      </c>
      <c r="M8">
        <v>100</v>
      </c>
      <c r="N8">
        <v>85</v>
      </c>
      <c r="O8">
        <v>70</v>
      </c>
      <c r="P8">
        <v>55</v>
      </c>
      <c r="Q8">
        <v>40</v>
      </c>
      <c r="R8">
        <f t="shared" si="0"/>
        <v>302</v>
      </c>
    </row>
    <row r="9" spans="1:22" x14ac:dyDescent="0.3">
      <c r="A9">
        <v>2021</v>
      </c>
      <c r="B9" t="s">
        <v>15</v>
      </c>
      <c r="C9">
        <v>328</v>
      </c>
      <c r="D9">
        <v>132</v>
      </c>
      <c r="E9">
        <v>196</v>
      </c>
      <c r="F9">
        <v>8346100</v>
      </c>
      <c r="G9">
        <v>7481155</v>
      </c>
      <c r="H9">
        <v>1134051.8</v>
      </c>
      <c r="I9">
        <v>0.15158779626942631</v>
      </c>
      <c r="J9">
        <v>6902300</v>
      </c>
      <c r="K9">
        <v>420610</v>
      </c>
      <c r="L9">
        <v>158245</v>
      </c>
      <c r="M9">
        <v>100</v>
      </c>
      <c r="N9">
        <v>85</v>
      </c>
      <c r="O9">
        <v>70</v>
      </c>
      <c r="P9">
        <v>55</v>
      </c>
      <c r="Q9">
        <v>40</v>
      </c>
      <c r="R9">
        <f t="shared" si="0"/>
        <v>328</v>
      </c>
    </row>
    <row r="10" spans="1:22" x14ac:dyDescent="0.3">
      <c r="A10">
        <v>2024</v>
      </c>
      <c r="B10" t="s">
        <v>16</v>
      </c>
      <c r="C10">
        <v>298</v>
      </c>
      <c r="D10">
        <v>129</v>
      </c>
      <c r="E10">
        <v>172</v>
      </c>
      <c r="F10">
        <v>6816100</v>
      </c>
      <c r="G10">
        <v>6133095</v>
      </c>
      <c r="H10">
        <v>947951.5</v>
      </c>
      <c r="I10">
        <v>0.15456331591146069</v>
      </c>
      <c r="J10">
        <v>5609950</v>
      </c>
      <c r="K10">
        <v>350935</v>
      </c>
      <c r="L10">
        <v>172210</v>
      </c>
      <c r="M10">
        <v>100</v>
      </c>
      <c r="N10">
        <v>85</v>
      </c>
      <c r="O10">
        <v>70</v>
      </c>
      <c r="P10">
        <v>55</v>
      </c>
      <c r="Q10">
        <v>40</v>
      </c>
      <c r="R10">
        <f t="shared" si="0"/>
        <v>301</v>
      </c>
    </row>
    <row r="11" spans="1:22" x14ac:dyDescent="0.3">
      <c r="A11">
        <v>2022</v>
      </c>
      <c r="B11" t="s">
        <v>13</v>
      </c>
      <c r="C11">
        <v>303</v>
      </c>
      <c r="D11">
        <v>125</v>
      </c>
      <c r="E11">
        <v>179</v>
      </c>
      <c r="F11">
        <v>6826400</v>
      </c>
      <c r="G11">
        <v>6139300</v>
      </c>
      <c r="H11">
        <v>955947.65</v>
      </c>
      <c r="I11">
        <v>0.15570955157754141</v>
      </c>
      <c r="J11">
        <v>5577900</v>
      </c>
      <c r="K11">
        <v>417875</v>
      </c>
      <c r="L11">
        <v>143525</v>
      </c>
      <c r="M11">
        <v>100</v>
      </c>
      <c r="N11">
        <v>85</v>
      </c>
      <c r="O11">
        <v>70</v>
      </c>
      <c r="P11">
        <v>55</v>
      </c>
      <c r="Q11">
        <v>40</v>
      </c>
      <c r="R11">
        <f t="shared" si="0"/>
        <v>304</v>
      </c>
    </row>
    <row r="12" spans="1:22" x14ac:dyDescent="0.3">
      <c r="A12">
        <v>2023</v>
      </c>
      <c r="B12" t="s">
        <v>15</v>
      </c>
      <c r="C12">
        <v>330</v>
      </c>
      <c r="D12">
        <v>137</v>
      </c>
      <c r="E12">
        <v>193</v>
      </c>
      <c r="F12">
        <v>5696400</v>
      </c>
      <c r="G12">
        <v>5233710</v>
      </c>
      <c r="H12">
        <v>864191.35</v>
      </c>
      <c r="I12">
        <v>0.16512022064653939</v>
      </c>
      <c r="J12">
        <v>4528750</v>
      </c>
      <c r="K12">
        <v>514975</v>
      </c>
      <c r="L12">
        <v>189985</v>
      </c>
      <c r="M12">
        <v>100</v>
      </c>
      <c r="N12">
        <v>85</v>
      </c>
      <c r="O12">
        <v>70</v>
      </c>
      <c r="P12">
        <v>55</v>
      </c>
      <c r="Q12">
        <v>40</v>
      </c>
      <c r="R12">
        <f t="shared" si="0"/>
        <v>330</v>
      </c>
    </row>
    <row r="13" spans="1:22" x14ac:dyDescent="0.3">
      <c r="A13">
        <v>2023</v>
      </c>
      <c r="B13" t="s">
        <v>17</v>
      </c>
      <c r="C13">
        <v>327</v>
      </c>
      <c r="D13">
        <v>133</v>
      </c>
      <c r="E13">
        <v>194</v>
      </c>
      <c r="F13">
        <v>5759100</v>
      </c>
      <c r="G13">
        <v>5131915</v>
      </c>
      <c r="H13">
        <v>837976.75</v>
      </c>
      <c r="I13">
        <v>0.16328734010598381</v>
      </c>
      <c r="J13">
        <v>4508150</v>
      </c>
      <c r="K13">
        <v>458910</v>
      </c>
      <c r="L13">
        <v>164855</v>
      </c>
      <c r="M13">
        <v>100</v>
      </c>
      <c r="N13">
        <v>85</v>
      </c>
      <c r="O13">
        <v>70</v>
      </c>
      <c r="P13">
        <v>55</v>
      </c>
      <c r="Q13">
        <v>40</v>
      </c>
      <c r="R13">
        <f t="shared" si="0"/>
        <v>327</v>
      </c>
    </row>
    <row r="14" spans="1:22" x14ac:dyDescent="0.3">
      <c r="A14">
        <v>2022</v>
      </c>
      <c r="B14" t="s">
        <v>15</v>
      </c>
      <c r="C14">
        <v>367</v>
      </c>
      <c r="D14">
        <v>144</v>
      </c>
      <c r="E14">
        <v>223</v>
      </c>
      <c r="F14">
        <v>6712900</v>
      </c>
      <c r="G14">
        <v>6075745</v>
      </c>
      <c r="H14">
        <v>980884.5</v>
      </c>
      <c r="I14">
        <v>0.16144267081650071</v>
      </c>
      <c r="J14">
        <v>5388300</v>
      </c>
      <c r="K14">
        <v>503750</v>
      </c>
      <c r="L14">
        <v>183695</v>
      </c>
      <c r="M14">
        <v>100</v>
      </c>
      <c r="N14">
        <v>85</v>
      </c>
      <c r="O14">
        <v>70</v>
      </c>
      <c r="P14">
        <v>55</v>
      </c>
      <c r="Q14">
        <v>40</v>
      </c>
      <c r="R14">
        <f t="shared" si="0"/>
        <v>367</v>
      </c>
    </row>
    <row r="15" spans="1:22" x14ac:dyDescent="0.3">
      <c r="A15">
        <v>2023</v>
      </c>
      <c r="B15" t="s">
        <v>14</v>
      </c>
      <c r="C15">
        <v>300</v>
      </c>
      <c r="D15">
        <v>103</v>
      </c>
      <c r="E15">
        <v>197</v>
      </c>
      <c r="F15">
        <v>5678300</v>
      </c>
      <c r="G15">
        <v>5127250</v>
      </c>
      <c r="H15">
        <v>820359.85</v>
      </c>
      <c r="I15">
        <v>0.15999997074455119</v>
      </c>
      <c r="J15">
        <v>4593350</v>
      </c>
      <c r="K15">
        <v>368725</v>
      </c>
      <c r="L15">
        <v>165175</v>
      </c>
      <c r="M15">
        <v>100</v>
      </c>
      <c r="N15">
        <v>85</v>
      </c>
      <c r="O15">
        <v>70</v>
      </c>
      <c r="P15">
        <v>55</v>
      </c>
      <c r="Q15">
        <v>40</v>
      </c>
      <c r="R15">
        <f t="shared" si="0"/>
        <v>300</v>
      </c>
    </row>
    <row r="16" spans="1:22" x14ac:dyDescent="0.3">
      <c r="A16">
        <v>2022</v>
      </c>
      <c r="B16" t="s">
        <v>9</v>
      </c>
      <c r="C16">
        <v>304</v>
      </c>
      <c r="D16">
        <v>115</v>
      </c>
      <c r="E16">
        <v>189</v>
      </c>
      <c r="F16">
        <v>5884900</v>
      </c>
      <c r="G16">
        <v>5445540</v>
      </c>
      <c r="H16">
        <v>890148.9</v>
      </c>
      <c r="I16">
        <v>0.16346384380612389</v>
      </c>
      <c r="J16">
        <v>4826100</v>
      </c>
      <c r="K16">
        <v>421320</v>
      </c>
      <c r="L16">
        <v>198120</v>
      </c>
      <c r="M16">
        <v>100</v>
      </c>
      <c r="N16">
        <v>85</v>
      </c>
      <c r="O16">
        <v>70</v>
      </c>
      <c r="P16">
        <v>55</v>
      </c>
      <c r="Q16">
        <v>40</v>
      </c>
      <c r="R16">
        <f t="shared" si="0"/>
        <v>304</v>
      </c>
    </row>
    <row r="17" spans="1:18" x14ac:dyDescent="0.3">
      <c r="A17">
        <v>2024</v>
      </c>
      <c r="B17" t="s">
        <v>12</v>
      </c>
      <c r="C17">
        <v>324</v>
      </c>
      <c r="D17">
        <v>125</v>
      </c>
      <c r="E17">
        <v>200</v>
      </c>
      <c r="F17">
        <v>6598200</v>
      </c>
      <c r="G17">
        <v>5967010</v>
      </c>
      <c r="H17">
        <v>934406.8</v>
      </c>
      <c r="I17">
        <v>0.1565954808187015</v>
      </c>
      <c r="J17">
        <v>5392800</v>
      </c>
      <c r="K17">
        <v>402515</v>
      </c>
      <c r="L17">
        <v>171695</v>
      </c>
      <c r="M17">
        <v>100</v>
      </c>
      <c r="N17">
        <v>85</v>
      </c>
      <c r="O17">
        <v>70</v>
      </c>
      <c r="P17">
        <v>55</v>
      </c>
      <c r="Q17">
        <v>40</v>
      </c>
      <c r="R17">
        <f t="shared" si="0"/>
        <v>325</v>
      </c>
    </row>
    <row r="18" spans="1:18" x14ac:dyDescent="0.3">
      <c r="A18">
        <v>2023</v>
      </c>
      <c r="B18" t="s">
        <v>13</v>
      </c>
      <c r="C18">
        <v>332</v>
      </c>
      <c r="D18">
        <v>134</v>
      </c>
      <c r="E18">
        <v>199</v>
      </c>
      <c r="F18">
        <v>7005900</v>
      </c>
      <c r="G18">
        <v>6356015</v>
      </c>
      <c r="H18">
        <v>974661.95</v>
      </c>
      <c r="I18">
        <v>0.1533448158948649</v>
      </c>
      <c r="J18">
        <v>5819500</v>
      </c>
      <c r="K18">
        <v>349360</v>
      </c>
      <c r="L18">
        <v>187155</v>
      </c>
      <c r="M18">
        <v>100</v>
      </c>
      <c r="N18">
        <v>85</v>
      </c>
      <c r="O18">
        <v>70</v>
      </c>
      <c r="P18">
        <v>55</v>
      </c>
      <c r="Q18">
        <v>40</v>
      </c>
      <c r="R18">
        <f t="shared" si="0"/>
        <v>333</v>
      </c>
    </row>
    <row r="19" spans="1:18" x14ac:dyDescent="0.3">
      <c r="A19">
        <v>2022</v>
      </c>
      <c r="B19" t="s">
        <v>5</v>
      </c>
      <c r="C19">
        <v>310</v>
      </c>
      <c r="D19">
        <v>129</v>
      </c>
      <c r="E19">
        <v>181</v>
      </c>
      <c r="F19">
        <v>5852000</v>
      </c>
      <c r="G19">
        <v>5285335</v>
      </c>
      <c r="H19">
        <v>861818.9</v>
      </c>
      <c r="I19">
        <v>0.16305851946943761</v>
      </c>
      <c r="J19">
        <v>4716800</v>
      </c>
      <c r="K19">
        <v>394565</v>
      </c>
      <c r="L19">
        <v>173970</v>
      </c>
      <c r="M19">
        <v>100</v>
      </c>
      <c r="N19">
        <v>85</v>
      </c>
      <c r="O19">
        <v>70</v>
      </c>
      <c r="P19">
        <v>55</v>
      </c>
      <c r="Q19">
        <v>40</v>
      </c>
      <c r="R19">
        <f t="shared" si="0"/>
        <v>310</v>
      </c>
    </row>
    <row r="20" spans="1:18" x14ac:dyDescent="0.3">
      <c r="A20">
        <v>2021</v>
      </c>
      <c r="B20" t="s">
        <v>16</v>
      </c>
      <c r="C20">
        <v>358</v>
      </c>
      <c r="D20">
        <v>137</v>
      </c>
      <c r="E20">
        <v>221</v>
      </c>
      <c r="F20">
        <v>6352800</v>
      </c>
      <c r="G20">
        <v>5746495</v>
      </c>
      <c r="H20">
        <v>929808.25</v>
      </c>
      <c r="I20">
        <v>0.16180441295085091</v>
      </c>
      <c r="J20">
        <v>5102400</v>
      </c>
      <c r="K20">
        <v>435515</v>
      </c>
      <c r="L20">
        <v>208580</v>
      </c>
      <c r="M20">
        <v>100</v>
      </c>
      <c r="N20">
        <v>85</v>
      </c>
      <c r="O20">
        <v>70</v>
      </c>
      <c r="P20">
        <v>55</v>
      </c>
      <c r="Q20">
        <v>40</v>
      </c>
      <c r="R20">
        <f t="shared" si="0"/>
        <v>358</v>
      </c>
    </row>
    <row r="21" spans="1:18" x14ac:dyDescent="0.3">
      <c r="A21">
        <v>2022</v>
      </c>
      <c r="B21" t="s">
        <v>7</v>
      </c>
      <c r="C21">
        <v>323</v>
      </c>
      <c r="D21">
        <v>135</v>
      </c>
      <c r="E21">
        <v>188</v>
      </c>
      <c r="F21">
        <v>7040400</v>
      </c>
      <c r="G21">
        <v>6365225</v>
      </c>
      <c r="H21">
        <v>998393.75</v>
      </c>
      <c r="I21">
        <v>0.156851289624483</v>
      </c>
      <c r="J21">
        <v>5789300</v>
      </c>
      <c r="K21">
        <v>406600</v>
      </c>
      <c r="L21">
        <v>169325</v>
      </c>
      <c r="M21">
        <v>100</v>
      </c>
      <c r="N21">
        <v>85</v>
      </c>
      <c r="O21">
        <v>70</v>
      </c>
      <c r="P21">
        <v>55</v>
      </c>
      <c r="Q21">
        <v>40</v>
      </c>
      <c r="R21">
        <f t="shared" si="0"/>
        <v>323</v>
      </c>
    </row>
    <row r="22" spans="1:18" x14ac:dyDescent="0.3">
      <c r="A22">
        <v>2023</v>
      </c>
      <c r="B22" t="s">
        <v>11</v>
      </c>
      <c r="C22">
        <v>325</v>
      </c>
      <c r="D22">
        <v>129</v>
      </c>
      <c r="E22">
        <v>196</v>
      </c>
      <c r="F22">
        <v>6380100</v>
      </c>
      <c r="G22">
        <v>5857195</v>
      </c>
      <c r="H22">
        <v>937244.35</v>
      </c>
      <c r="I22">
        <v>0.16001590351695649</v>
      </c>
      <c r="J22">
        <v>5252500</v>
      </c>
      <c r="K22">
        <v>419380</v>
      </c>
      <c r="L22">
        <v>185315</v>
      </c>
      <c r="M22">
        <v>100</v>
      </c>
      <c r="N22">
        <v>85</v>
      </c>
      <c r="O22">
        <v>70</v>
      </c>
      <c r="P22">
        <v>55</v>
      </c>
      <c r="Q22">
        <v>40</v>
      </c>
      <c r="R22">
        <f t="shared" si="0"/>
        <v>325</v>
      </c>
    </row>
    <row r="23" spans="1:18" x14ac:dyDescent="0.3">
      <c r="A23">
        <v>2022</v>
      </c>
      <c r="B23" t="s">
        <v>17</v>
      </c>
      <c r="C23">
        <v>322</v>
      </c>
      <c r="D23">
        <v>144</v>
      </c>
      <c r="E23">
        <v>178</v>
      </c>
      <c r="F23">
        <v>6216300</v>
      </c>
      <c r="G23">
        <v>5690880</v>
      </c>
      <c r="H23">
        <v>894655.6</v>
      </c>
      <c r="I23">
        <v>0.15720865665766981</v>
      </c>
      <c r="J23">
        <v>5117400</v>
      </c>
      <c r="K23">
        <v>418515</v>
      </c>
      <c r="L23">
        <v>154965</v>
      </c>
      <c r="M23">
        <v>100</v>
      </c>
      <c r="N23">
        <v>85</v>
      </c>
      <c r="O23">
        <v>70</v>
      </c>
      <c r="P23">
        <v>55</v>
      </c>
      <c r="Q23">
        <v>40</v>
      </c>
      <c r="R23">
        <f t="shared" si="0"/>
        <v>322</v>
      </c>
    </row>
    <row r="24" spans="1:18" x14ac:dyDescent="0.3">
      <c r="A24">
        <v>2024</v>
      </c>
      <c r="B24" t="s">
        <v>15</v>
      </c>
      <c r="C24">
        <v>289</v>
      </c>
      <c r="D24">
        <v>102</v>
      </c>
      <c r="E24">
        <v>187</v>
      </c>
      <c r="F24">
        <v>5405900</v>
      </c>
      <c r="G24">
        <v>4908865</v>
      </c>
      <c r="H24">
        <v>804795.25</v>
      </c>
      <c r="I24">
        <v>0.16394731776082661</v>
      </c>
      <c r="J24">
        <v>4346650</v>
      </c>
      <c r="K24">
        <v>386190</v>
      </c>
      <c r="L24">
        <v>176025</v>
      </c>
      <c r="M24">
        <v>100</v>
      </c>
      <c r="N24">
        <v>85</v>
      </c>
      <c r="O24">
        <v>70</v>
      </c>
      <c r="P24">
        <v>55</v>
      </c>
      <c r="Q24">
        <v>40</v>
      </c>
      <c r="R24">
        <f t="shared" si="0"/>
        <v>289</v>
      </c>
    </row>
    <row r="25" spans="1:18" x14ac:dyDescent="0.3">
      <c r="A25">
        <v>2024</v>
      </c>
      <c r="B25" t="s">
        <v>17</v>
      </c>
      <c r="C25">
        <v>286</v>
      </c>
      <c r="D25">
        <v>102</v>
      </c>
      <c r="E25">
        <v>186</v>
      </c>
      <c r="F25">
        <v>4893700</v>
      </c>
      <c r="G25">
        <v>4435675</v>
      </c>
      <c r="H25">
        <v>738190.3</v>
      </c>
      <c r="I25">
        <v>0.16642118730520161</v>
      </c>
      <c r="J25">
        <v>3896750</v>
      </c>
      <c r="K25">
        <v>368160</v>
      </c>
      <c r="L25">
        <v>170765</v>
      </c>
      <c r="M25">
        <v>100</v>
      </c>
      <c r="N25">
        <v>85</v>
      </c>
      <c r="O25">
        <v>70</v>
      </c>
      <c r="P25">
        <v>55</v>
      </c>
      <c r="Q25">
        <v>40</v>
      </c>
      <c r="R25">
        <f t="shared" si="0"/>
        <v>288</v>
      </c>
    </row>
    <row r="26" spans="1:18" x14ac:dyDescent="0.3">
      <c r="A26">
        <v>2022</v>
      </c>
      <c r="B26" t="s">
        <v>12</v>
      </c>
      <c r="C26">
        <v>310</v>
      </c>
      <c r="D26">
        <v>119</v>
      </c>
      <c r="E26">
        <v>191</v>
      </c>
      <c r="F26">
        <v>6275900</v>
      </c>
      <c r="G26">
        <v>5717635</v>
      </c>
      <c r="H26">
        <v>925881.55</v>
      </c>
      <c r="I26">
        <v>0.16193435747472509</v>
      </c>
      <c r="J26">
        <v>5033150</v>
      </c>
      <c r="K26">
        <v>489185</v>
      </c>
      <c r="L26">
        <v>195300</v>
      </c>
      <c r="M26">
        <v>100</v>
      </c>
      <c r="N26">
        <v>85</v>
      </c>
      <c r="O26">
        <v>70</v>
      </c>
      <c r="P26">
        <v>55</v>
      </c>
      <c r="Q26">
        <v>40</v>
      </c>
      <c r="R26">
        <f t="shared" si="0"/>
        <v>310</v>
      </c>
    </row>
    <row r="27" spans="1:18" x14ac:dyDescent="0.3">
      <c r="A27">
        <v>2023</v>
      </c>
      <c r="B27" t="s">
        <v>16</v>
      </c>
      <c r="C27">
        <v>330</v>
      </c>
      <c r="D27">
        <v>130</v>
      </c>
      <c r="E27">
        <v>202</v>
      </c>
      <c r="F27">
        <v>7145300</v>
      </c>
      <c r="G27">
        <v>6515220</v>
      </c>
      <c r="H27">
        <v>1015895.9</v>
      </c>
      <c r="I27">
        <v>0.155926568864904</v>
      </c>
      <c r="J27">
        <v>5951350</v>
      </c>
      <c r="K27">
        <v>324900</v>
      </c>
      <c r="L27">
        <v>238970</v>
      </c>
      <c r="M27">
        <v>100</v>
      </c>
      <c r="N27">
        <v>85</v>
      </c>
      <c r="O27">
        <v>70</v>
      </c>
      <c r="P27">
        <v>55</v>
      </c>
      <c r="Q27">
        <v>40</v>
      </c>
      <c r="R27">
        <f t="shared" si="0"/>
        <v>332</v>
      </c>
    </row>
    <row r="28" spans="1:18" x14ac:dyDescent="0.3">
      <c r="A28">
        <v>2022</v>
      </c>
      <c r="B28" t="s">
        <v>16</v>
      </c>
      <c r="C28">
        <v>312</v>
      </c>
      <c r="D28">
        <v>117</v>
      </c>
      <c r="E28">
        <v>195</v>
      </c>
      <c r="F28">
        <v>6100000</v>
      </c>
      <c r="G28">
        <v>5499920</v>
      </c>
      <c r="H28">
        <v>882524.3</v>
      </c>
      <c r="I28">
        <v>0.16046129761887451</v>
      </c>
      <c r="J28">
        <v>4885950</v>
      </c>
      <c r="K28">
        <v>444025</v>
      </c>
      <c r="L28">
        <v>169945</v>
      </c>
      <c r="M28">
        <v>100</v>
      </c>
      <c r="N28">
        <v>85</v>
      </c>
      <c r="O28">
        <v>70</v>
      </c>
      <c r="P28">
        <v>55</v>
      </c>
      <c r="Q28">
        <v>40</v>
      </c>
      <c r="R28">
        <f t="shared" si="0"/>
        <v>312</v>
      </c>
    </row>
    <row r="29" spans="1:18" x14ac:dyDescent="0.3">
      <c r="A29">
        <v>2021</v>
      </c>
      <c r="B29" t="s">
        <v>12</v>
      </c>
      <c r="C29">
        <v>284</v>
      </c>
      <c r="D29">
        <v>111</v>
      </c>
      <c r="E29">
        <v>176</v>
      </c>
      <c r="F29">
        <v>5194100</v>
      </c>
      <c r="G29">
        <v>4768630</v>
      </c>
      <c r="H29">
        <v>788904</v>
      </c>
      <c r="I29">
        <v>0.1654361944625605</v>
      </c>
      <c r="J29">
        <v>4225650</v>
      </c>
      <c r="K29">
        <v>321185</v>
      </c>
      <c r="L29">
        <v>221795</v>
      </c>
      <c r="M29">
        <v>100</v>
      </c>
      <c r="N29">
        <v>85</v>
      </c>
      <c r="O29">
        <v>70</v>
      </c>
      <c r="P29">
        <v>55</v>
      </c>
      <c r="Q29">
        <v>40</v>
      </c>
      <c r="R29">
        <f t="shared" si="0"/>
        <v>287</v>
      </c>
    </row>
    <row r="30" spans="1:18" x14ac:dyDescent="0.3">
      <c r="A30">
        <v>2023</v>
      </c>
      <c r="B30" t="s">
        <v>7</v>
      </c>
      <c r="C30">
        <v>315</v>
      </c>
      <c r="D30">
        <v>126</v>
      </c>
      <c r="E30">
        <v>189</v>
      </c>
      <c r="F30">
        <v>6861400</v>
      </c>
      <c r="G30">
        <v>6130225</v>
      </c>
      <c r="H30">
        <v>954920.8</v>
      </c>
      <c r="I30">
        <v>0.1557725532097109</v>
      </c>
      <c r="J30">
        <v>5606300</v>
      </c>
      <c r="K30">
        <v>356915</v>
      </c>
      <c r="L30">
        <v>167010</v>
      </c>
      <c r="M30">
        <v>100</v>
      </c>
      <c r="N30">
        <v>85</v>
      </c>
      <c r="O30">
        <v>70</v>
      </c>
      <c r="P30">
        <v>55</v>
      </c>
      <c r="Q30">
        <v>40</v>
      </c>
      <c r="R30">
        <f t="shared" si="0"/>
        <v>315</v>
      </c>
    </row>
    <row r="31" spans="1:18" x14ac:dyDescent="0.3">
      <c r="A31">
        <v>2022</v>
      </c>
      <c r="B31" t="s">
        <v>18</v>
      </c>
      <c r="C31">
        <v>294</v>
      </c>
      <c r="D31">
        <v>114</v>
      </c>
      <c r="E31">
        <v>180</v>
      </c>
      <c r="F31">
        <v>6058600</v>
      </c>
      <c r="G31">
        <v>5492880</v>
      </c>
      <c r="H31">
        <v>855303.45</v>
      </c>
      <c r="I31">
        <v>0.15571129352907759</v>
      </c>
      <c r="J31">
        <v>4985400</v>
      </c>
      <c r="K31">
        <v>303525</v>
      </c>
      <c r="L31">
        <v>203955</v>
      </c>
      <c r="M31">
        <v>100</v>
      </c>
      <c r="N31">
        <v>85</v>
      </c>
      <c r="O31">
        <v>70</v>
      </c>
      <c r="P31">
        <v>55</v>
      </c>
      <c r="Q31">
        <v>40</v>
      </c>
      <c r="R31">
        <f t="shared" si="0"/>
        <v>294</v>
      </c>
    </row>
    <row r="32" spans="1:18" x14ac:dyDescent="0.3">
      <c r="A32">
        <v>2023</v>
      </c>
      <c r="B32" t="s">
        <v>9</v>
      </c>
      <c r="C32">
        <v>305</v>
      </c>
      <c r="D32">
        <v>128</v>
      </c>
      <c r="E32">
        <v>177</v>
      </c>
      <c r="F32">
        <v>6088800</v>
      </c>
      <c r="G32">
        <v>5477670</v>
      </c>
      <c r="H32">
        <v>859194.15</v>
      </c>
      <c r="I32">
        <v>0.15685394519932749</v>
      </c>
      <c r="J32">
        <v>4870550</v>
      </c>
      <c r="K32">
        <v>443475</v>
      </c>
      <c r="L32">
        <v>163645</v>
      </c>
      <c r="M32">
        <v>100</v>
      </c>
      <c r="N32">
        <v>85</v>
      </c>
      <c r="O32">
        <v>70</v>
      </c>
      <c r="P32">
        <v>55</v>
      </c>
      <c r="Q32">
        <v>40</v>
      </c>
      <c r="R32">
        <f t="shared" si="0"/>
        <v>305</v>
      </c>
    </row>
    <row r="33" spans="1:18" x14ac:dyDescent="0.3">
      <c r="A33">
        <v>2022</v>
      </c>
      <c r="B33" t="s">
        <v>14</v>
      </c>
      <c r="C33">
        <v>278</v>
      </c>
      <c r="D33">
        <v>108</v>
      </c>
      <c r="E33">
        <v>170</v>
      </c>
      <c r="F33">
        <v>4370300</v>
      </c>
      <c r="G33">
        <v>3945465</v>
      </c>
      <c r="H33">
        <v>691793.75</v>
      </c>
      <c r="I33">
        <v>0.1753389651156454</v>
      </c>
      <c r="J33">
        <v>3313400</v>
      </c>
      <c r="K33">
        <v>473920</v>
      </c>
      <c r="L33">
        <v>158145</v>
      </c>
      <c r="M33">
        <v>100</v>
      </c>
      <c r="N33">
        <v>85</v>
      </c>
      <c r="O33">
        <v>70</v>
      </c>
      <c r="P33">
        <v>55</v>
      </c>
      <c r="Q33">
        <v>40</v>
      </c>
      <c r="R33">
        <f t="shared" si="0"/>
        <v>278</v>
      </c>
    </row>
    <row r="34" spans="1:18" x14ac:dyDescent="0.3">
      <c r="A34">
        <v>2024</v>
      </c>
      <c r="B34" t="s">
        <v>13</v>
      </c>
      <c r="C34">
        <v>328</v>
      </c>
      <c r="D34">
        <v>141</v>
      </c>
      <c r="E34">
        <v>188</v>
      </c>
      <c r="F34">
        <v>6804600</v>
      </c>
      <c r="G34">
        <v>6183960</v>
      </c>
      <c r="H34">
        <v>979697.1</v>
      </c>
      <c r="I34">
        <v>0.15842552345099259</v>
      </c>
      <c r="J34">
        <v>5588650</v>
      </c>
      <c r="K34">
        <v>360380</v>
      </c>
      <c r="L34">
        <v>234930</v>
      </c>
      <c r="M34">
        <v>100</v>
      </c>
      <c r="N34">
        <v>85</v>
      </c>
      <c r="O34">
        <v>70</v>
      </c>
      <c r="P34">
        <v>55</v>
      </c>
      <c r="Q34">
        <v>40</v>
      </c>
      <c r="R34">
        <f t="shared" si="0"/>
        <v>329</v>
      </c>
    </row>
    <row r="35" spans="1:18" x14ac:dyDescent="0.3">
      <c r="A35">
        <v>2024</v>
      </c>
      <c r="B35" t="s">
        <v>9</v>
      </c>
      <c r="C35">
        <v>316</v>
      </c>
      <c r="D35">
        <v>114</v>
      </c>
      <c r="E35">
        <v>203</v>
      </c>
      <c r="F35">
        <v>6816100</v>
      </c>
      <c r="G35">
        <v>6202315</v>
      </c>
      <c r="H35">
        <v>967756.75</v>
      </c>
      <c r="I35">
        <v>0.15603153822403409</v>
      </c>
      <c r="J35">
        <v>5596350</v>
      </c>
      <c r="K35">
        <v>445860</v>
      </c>
      <c r="L35">
        <v>160105</v>
      </c>
      <c r="M35">
        <v>100</v>
      </c>
      <c r="N35">
        <v>85</v>
      </c>
      <c r="O35">
        <v>70</v>
      </c>
      <c r="P35">
        <v>55</v>
      </c>
      <c r="Q35">
        <v>40</v>
      </c>
      <c r="R35">
        <f t="shared" si="0"/>
        <v>317</v>
      </c>
    </row>
    <row r="36" spans="1:18" x14ac:dyDescent="0.3">
      <c r="A36">
        <v>2021</v>
      </c>
      <c r="B36" t="s">
        <v>17</v>
      </c>
      <c r="C36">
        <v>354</v>
      </c>
      <c r="D36">
        <v>131</v>
      </c>
      <c r="E36">
        <v>223</v>
      </c>
      <c r="F36">
        <v>6172000</v>
      </c>
      <c r="G36">
        <v>5636290</v>
      </c>
      <c r="H36">
        <v>925464.6</v>
      </c>
      <c r="I36">
        <v>0.16419747741865659</v>
      </c>
      <c r="J36">
        <v>5031700</v>
      </c>
      <c r="K36">
        <v>382540</v>
      </c>
      <c r="L36">
        <v>222050</v>
      </c>
      <c r="M36">
        <v>100</v>
      </c>
      <c r="N36">
        <v>85</v>
      </c>
      <c r="O36">
        <v>70</v>
      </c>
      <c r="P36">
        <v>55</v>
      </c>
      <c r="Q36">
        <v>40</v>
      </c>
      <c r="R36">
        <f t="shared" si="0"/>
        <v>354</v>
      </c>
    </row>
    <row r="37" spans="1:18" x14ac:dyDescent="0.3">
      <c r="A37">
        <v>2024</v>
      </c>
      <c r="B37" t="s">
        <v>18</v>
      </c>
      <c r="C37">
        <v>287</v>
      </c>
      <c r="D37">
        <v>112</v>
      </c>
      <c r="E37">
        <v>176</v>
      </c>
      <c r="F37">
        <v>5729800</v>
      </c>
      <c r="G37">
        <v>5287310</v>
      </c>
      <c r="H37">
        <v>834636.65</v>
      </c>
      <c r="I37">
        <v>0.15785657546086759</v>
      </c>
      <c r="J37">
        <v>4788050</v>
      </c>
      <c r="K37">
        <v>366910</v>
      </c>
      <c r="L37">
        <v>132350</v>
      </c>
      <c r="M37">
        <v>100</v>
      </c>
      <c r="N37">
        <v>85</v>
      </c>
      <c r="O37">
        <v>70</v>
      </c>
      <c r="P37">
        <v>55</v>
      </c>
      <c r="Q37">
        <v>40</v>
      </c>
      <c r="R37">
        <f t="shared" si="0"/>
        <v>288</v>
      </c>
    </row>
    <row r="38" spans="1:18" x14ac:dyDescent="0.3">
      <c r="A38">
        <v>2021</v>
      </c>
      <c r="B38" t="s">
        <v>19</v>
      </c>
      <c r="C38">
        <v>321</v>
      </c>
      <c r="D38">
        <v>130</v>
      </c>
      <c r="E38">
        <v>193</v>
      </c>
      <c r="F38">
        <v>6481100</v>
      </c>
      <c r="G38">
        <v>5838570</v>
      </c>
      <c r="H38">
        <v>935759.55</v>
      </c>
      <c r="I38">
        <v>0.16027204435332629</v>
      </c>
      <c r="J38">
        <v>5241750</v>
      </c>
      <c r="K38">
        <v>397085</v>
      </c>
      <c r="L38">
        <v>199735</v>
      </c>
      <c r="M38">
        <v>100</v>
      </c>
      <c r="N38">
        <v>85</v>
      </c>
      <c r="O38">
        <v>70</v>
      </c>
      <c r="P38">
        <v>55</v>
      </c>
      <c r="Q38">
        <v>40</v>
      </c>
      <c r="R38">
        <f t="shared" si="0"/>
        <v>323</v>
      </c>
    </row>
    <row r="39" spans="1:18" x14ac:dyDescent="0.3">
      <c r="A39">
        <v>2023</v>
      </c>
      <c r="B39" t="s">
        <v>19</v>
      </c>
      <c r="C39">
        <v>312</v>
      </c>
      <c r="D39">
        <v>121</v>
      </c>
      <c r="E39">
        <v>192</v>
      </c>
      <c r="F39">
        <v>6816700</v>
      </c>
      <c r="G39">
        <v>6155025</v>
      </c>
      <c r="H39">
        <v>956780.3</v>
      </c>
      <c r="I39">
        <v>0.15544702093005311</v>
      </c>
      <c r="J39">
        <v>5577050</v>
      </c>
      <c r="K39">
        <v>398650</v>
      </c>
      <c r="L39">
        <v>179325</v>
      </c>
      <c r="M39">
        <v>100</v>
      </c>
      <c r="N39">
        <v>85</v>
      </c>
      <c r="O39">
        <v>70</v>
      </c>
      <c r="P39">
        <v>55</v>
      </c>
      <c r="Q39">
        <v>40</v>
      </c>
      <c r="R39">
        <f t="shared" si="0"/>
        <v>313</v>
      </c>
    </row>
    <row r="40" spans="1:18" x14ac:dyDescent="0.3">
      <c r="A40">
        <v>2023</v>
      </c>
      <c r="B40" t="s">
        <v>5</v>
      </c>
      <c r="C40">
        <v>294</v>
      </c>
      <c r="D40">
        <v>119</v>
      </c>
      <c r="E40">
        <v>175</v>
      </c>
      <c r="F40">
        <v>6006400</v>
      </c>
      <c r="G40">
        <v>5444145</v>
      </c>
      <c r="H40">
        <v>858582.7</v>
      </c>
      <c r="I40">
        <v>0.157707537179851</v>
      </c>
      <c r="J40">
        <v>4887100</v>
      </c>
      <c r="K40">
        <v>385990</v>
      </c>
      <c r="L40">
        <v>171055</v>
      </c>
      <c r="M40">
        <v>100</v>
      </c>
      <c r="N40">
        <v>85</v>
      </c>
      <c r="O40">
        <v>70</v>
      </c>
      <c r="P40">
        <v>55</v>
      </c>
      <c r="Q40">
        <v>40</v>
      </c>
      <c r="R40">
        <f t="shared" si="0"/>
        <v>294</v>
      </c>
    </row>
    <row r="41" spans="1:18" x14ac:dyDescent="0.3">
      <c r="A41">
        <v>2021</v>
      </c>
      <c r="B41" t="s">
        <v>5</v>
      </c>
      <c r="C41">
        <v>291</v>
      </c>
      <c r="D41">
        <v>108</v>
      </c>
      <c r="E41">
        <v>183</v>
      </c>
      <c r="F41">
        <v>4335900</v>
      </c>
      <c r="G41">
        <v>3908850</v>
      </c>
      <c r="H41">
        <v>691495.05</v>
      </c>
      <c r="I41">
        <v>0.17690498484208911</v>
      </c>
      <c r="J41">
        <v>3322150</v>
      </c>
      <c r="K41">
        <v>379730</v>
      </c>
      <c r="L41">
        <v>206970</v>
      </c>
      <c r="M41">
        <v>100</v>
      </c>
      <c r="N41">
        <v>85</v>
      </c>
      <c r="O41">
        <v>70</v>
      </c>
      <c r="P41">
        <v>55</v>
      </c>
      <c r="Q41">
        <v>40</v>
      </c>
      <c r="R41">
        <f t="shared" si="0"/>
        <v>291</v>
      </c>
    </row>
    <row r="42" spans="1:18" x14ac:dyDescent="0.3">
      <c r="A42">
        <v>2024</v>
      </c>
      <c r="B42" t="s">
        <v>19</v>
      </c>
      <c r="C42">
        <v>291</v>
      </c>
      <c r="D42">
        <v>119</v>
      </c>
      <c r="E42">
        <v>172</v>
      </c>
      <c r="F42">
        <v>4800100</v>
      </c>
      <c r="G42">
        <v>4324080</v>
      </c>
      <c r="H42">
        <v>740438.35</v>
      </c>
      <c r="I42">
        <v>0.17123604327394501</v>
      </c>
      <c r="J42">
        <v>3708050</v>
      </c>
      <c r="K42">
        <v>401535</v>
      </c>
      <c r="L42">
        <v>214495</v>
      </c>
      <c r="M42">
        <v>100</v>
      </c>
      <c r="N42">
        <v>85</v>
      </c>
      <c r="O42">
        <v>70</v>
      </c>
      <c r="P42">
        <v>55</v>
      </c>
      <c r="Q42">
        <v>40</v>
      </c>
      <c r="R42">
        <f t="shared" si="0"/>
        <v>291</v>
      </c>
    </row>
    <row r="43" spans="1:18" x14ac:dyDescent="0.3">
      <c r="A43">
        <v>2021</v>
      </c>
      <c r="B43" t="s">
        <v>18</v>
      </c>
      <c r="C43">
        <v>342</v>
      </c>
      <c r="D43">
        <v>136</v>
      </c>
      <c r="E43">
        <v>206</v>
      </c>
      <c r="F43">
        <v>8057000</v>
      </c>
      <c r="G43">
        <v>7223160</v>
      </c>
      <c r="H43">
        <v>1111315.8500000001</v>
      </c>
      <c r="I43">
        <v>0.15385452488938359</v>
      </c>
      <c r="J43">
        <v>6553250</v>
      </c>
      <c r="K43">
        <v>504830</v>
      </c>
      <c r="L43">
        <v>165080</v>
      </c>
      <c r="M43">
        <v>100</v>
      </c>
      <c r="N43">
        <v>85</v>
      </c>
      <c r="O43">
        <v>70</v>
      </c>
      <c r="P43">
        <v>55</v>
      </c>
      <c r="Q43">
        <v>40</v>
      </c>
      <c r="R43">
        <f t="shared" si="0"/>
        <v>342</v>
      </c>
    </row>
    <row r="44" spans="1:18" x14ac:dyDescent="0.3">
      <c r="A44">
        <v>2024</v>
      </c>
      <c r="B44" t="s">
        <v>11</v>
      </c>
      <c r="C44">
        <v>280</v>
      </c>
      <c r="D44">
        <v>113</v>
      </c>
      <c r="E44">
        <v>167</v>
      </c>
      <c r="F44">
        <v>5802500</v>
      </c>
      <c r="G44">
        <v>5297440</v>
      </c>
      <c r="H44">
        <v>842208.55</v>
      </c>
      <c r="I44">
        <v>0.15898406588842909</v>
      </c>
      <c r="J44">
        <v>4771800</v>
      </c>
      <c r="K44">
        <v>383230</v>
      </c>
      <c r="L44">
        <v>142410</v>
      </c>
      <c r="M44">
        <v>100</v>
      </c>
      <c r="N44">
        <v>85</v>
      </c>
      <c r="O44">
        <v>70</v>
      </c>
      <c r="P44">
        <v>55</v>
      </c>
      <c r="Q44">
        <v>40</v>
      </c>
      <c r="R44">
        <f t="shared" si="0"/>
        <v>280</v>
      </c>
    </row>
    <row r="45" spans="1:18" x14ac:dyDescent="0.3">
      <c r="A45">
        <v>2021</v>
      </c>
      <c r="B45" t="s">
        <v>11</v>
      </c>
      <c r="C45">
        <v>320</v>
      </c>
      <c r="D45">
        <v>132</v>
      </c>
      <c r="E45">
        <v>189</v>
      </c>
      <c r="F45">
        <v>6272700</v>
      </c>
      <c r="G45">
        <v>5761060</v>
      </c>
      <c r="H45">
        <v>944537.25</v>
      </c>
      <c r="I45">
        <v>0.1639519897379996</v>
      </c>
      <c r="J45">
        <v>5092900</v>
      </c>
      <c r="K45">
        <v>486565</v>
      </c>
      <c r="L45">
        <v>181595</v>
      </c>
      <c r="M45">
        <v>100</v>
      </c>
      <c r="N45">
        <v>85</v>
      </c>
      <c r="O45">
        <v>70</v>
      </c>
      <c r="P45">
        <v>55</v>
      </c>
      <c r="Q45">
        <v>40</v>
      </c>
      <c r="R45">
        <f t="shared" si="0"/>
        <v>321</v>
      </c>
    </row>
    <row r="46" spans="1:18" x14ac:dyDescent="0.3">
      <c r="A46">
        <v>2021</v>
      </c>
      <c r="B46" t="s">
        <v>14</v>
      </c>
      <c r="C46">
        <v>303</v>
      </c>
      <c r="D46">
        <v>114</v>
      </c>
      <c r="E46">
        <v>189</v>
      </c>
      <c r="F46">
        <v>6839200</v>
      </c>
      <c r="G46">
        <v>6152050</v>
      </c>
      <c r="H46">
        <v>952341.6</v>
      </c>
      <c r="I46">
        <v>0.15480069245210951</v>
      </c>
      <c r="J46">
        <v>5545300</v>
      </c>
      <c r="K46">
        <v>418220</v>
      </c>
      <c r="L46">
        <v>188530</v>
      </c>
      <c r="M46">
        <v>100</v>
      </c>
      <c r="N46">
        <v>85</v>
      </c>
      <c r="O46">
        <v>70</v>
      </c>
      <c r="P46">
        <v>55</v>
      </c>
      <c r="Q46">
        <v>40</v>
      </c>
      <c r="R46">
        <f t="shared" si="0"/>
        <v>303</v>
      </c>
    </row>
    <row r="47" spans="1:18" x14ac:dyDescent="0.3">
      <c r="A47">
        <v>2022</v>
      </c>
      <c r="B47" t="s">
        <v>19</v>
      </c>
      <c r="C47">
        <v>320</v>
      </c>
      <c r="D47">
        <v>127</v>
      </c>
      <c r="E47">
        <v>194</v>
      </c>
      <c r="F47">
        <v>6396000</v>
      </c>
      <c r="G47">
        <v>5823165</v>
      </c>
      <c r="H47">
        <v>911933.6</v>
      </c>
      <c r="I47">
        <v>0.15660445822847199</v>
      </c>
      <c r="J47">
        <v>5247900</v>
      </c>
      <c r="K47">
        <v>410235</v>
      </c>
      <c r="L47">
        <v>165030</v>
      </c>
      <c r="M47">
        <v>100</v>
      </c>
      <c r="N47">
        <v>85</v>
      </c>
      <c r="O47">
        <v>70</v>
      </c>
      <c r="P47">
        <v>55</v>
      </c>
      <c r="Q47">
        <v>40</v>
      </c>
      <c r="R47">
        <f t="shared" si="0"/>
        <v>321</v>
      </c>
    </row>
    <row r="48" spans="1:18" x14ac:dyDescent="0.3">
      <c r="A48">
        <v>2024</v>
      </c>
      <c r="B48" t="s">
        <v>7</v>
      </c>
      <c r="C48">
        <v>303</v>
      </c>
      <c r="D48">
        <v>128</v>
      </c>
      <c r="E48">
        <v>176</v>
      </c>
      <c r="F48">
        <v>7071300</v>
      </c>
      <c r="G48">
        <v>6346630</v>
      </c>
      <c r="H48">
        <v>975388.1</v>
      </c>
      <c r="I48">
        <v>0.15368598768165151</v>
      </c>
      <c r="J48">
        <v>5819800</v>
      </c>
      <c r="K48">
        <v>350475</v>
      </c>
      <c r="L48">
        <v>176355</v>
      </c>
      <c r="M48">
        <v>100</v>
      </c>
      <c r="N48">
        <v>85</v>
      </c>
      <c r="O48">
        <v>70</v>
      </c>
      <c r="P48">
        <v>55</v>
      </c>
      <c r="Q48">
        <v>40</v>
      </c>
      <c r="R48">
        <f t="shared" si="0"/>
        <v>304</v>
      </c>
    </row>
    <row r="49" spans="1:18" x14ac:dyDescent="0.3">
      <c r="A49">
        <v>2023</v>
      </c>
      <c r="B49" t="s">
        <v>18</v>
      </c>
      <c r="C49">
        <v>304</v>
      </c>
      <c r="D49">
        <v>105</v>
      </c>
      <c r="E49">
        <v>199</v>
      </c>
      <c r="F49">
        <v>7205000</v>
      </c>
      <c r="G49">
        <v>6605125</v>
      </c>
      <c r="H49">
        <v>1014099.65</v>
      </c>
      <c r="I49">
        <v>0.153532242009046</v>
      </c>
      <c r="J49">
        <v>6039050</v>
      </c>
      <c r="K49">
        <v>405205</v>
      </c>
      <c r="L49">
        <v>160870</v>
      </c>
      <c r="M49">
        <v>100</v>
      </c>
      <c r="N49">
        <v>85</v>
      </c>
      <c r="O49">
        <v>70</v>
      </c>
      <c r="P49">
        <v>55</v>
      </c>
      <c r="Q49">
        <v>40</v>
      </c>
      <c r="R49">
        <f t="shared" si="0"/>
        <v>304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DBD4A-EA19-42DA-A67D-0FDA73ABCCC6}">
  <dimension ref="A1:X36"/>
  <sheetViews>
    <sheetView topLeftCell="F1" workbookViewId="0"/>
  </sheetViews>
  <sheetFormatPr defaultRowHeight="14.4" x14ac:dyDescent="0.3"/>
  <cols>
    <col min="1" max="1" width="12.5546875" bestFit="1" customWidth="1"/>
    <col min="2" max="2" width="13.6640625" bestFit="1" customWidth="1"/>
    <col min="3" max="3" width="22.6640625" bestFit="1" customWidth="1"/>
    <col min="4" max="4" width="18.109375" bestFit="1" customWidth="1"/>
    <col min="5" max="5" width="13.21875" bestFit="1" customWidth="1"/>
    <col min="7" max="7" width="12.5546875" bestFit="1" customWidth="1"/>
    <col min="8" max="8" width="16.5546875" bestFit="1" customWidth="1"/>
    <col min="9" max="9" width="14" bestFit="1" customWidth="1"/>
    <col min="10" max="10" width="17.21875" bestFit="1" customWidth="1"/>
    <col min="12" max="12" width="10.33203125" customWidth="1"/>
    <col min="13" max="13" width="10" bestFit="1" customWidth="1"/>
    <col min="14" max="18" width="13.33203125" bestFit="1" customWidth="1"/>
  </cols>
  <sheetData>
    <row r="1" spans="1:24" x14ac:dyDescent="0.3">
      <c r="A1" s="2" t="s">
        <v>29</v>
      </c>
      <c r="B1" t="s">
        <v>31</v>
      </c>
      <c r="C1" t="s">
        <v>32</v>
      </c>
      <c r="D1" t="s">
        <v>33</v>
      </c>
      <c r="E1" t="s">
        <v>45</v>
      </c>
      <c r="G1" s="2" t="s">
        <v>29</v>
      </c>
      <c r="H1" t="s">
        <v>35</v>
      </c>
      <c r="I1" t="s">
        <v>36</v>
      </c>
      <c r="J1" t="s">
        <v>37</v>
      </c>
      <c r="N1" t="s">
        <v>38</v>
      </c>
      <c r="O1" t="s">
        <v>39</v>
      </c>
      <c r="P1" t="s">
        <v>40</v>
      </c>
      <c r="Q1" t="s">
        <v>41</v>
      </c>
      <c r="R1" t="s">
        <v>42</v>
      </c>
      <c r="S1" t="s">
        <v>1</v>
      </c>
      <c r="T1" t="s">
        <v>46</v>
      </c>
      <c r="W1" t="s">
        <v>44</v>
      </c>
      <c r="X1" t="s">
        <v>20</v>
      </c>
    </row>
    <row r="2" spans="1:24" x14ac:dyDescent="0.3">
      <c r="A2" s="3" t="s">
        <v>13</v>
      </c>
      <c r="B2" s="4">
        <v>1284</v>
      </c>
      <c r="C2" s="4">
        <v>531</v>
      </c>
      <c r="D2" s="4">
        <v>756</v>
      </c>
      <c r="E2" s="4">
        <v>1287</v>
      </c>
      <c r="G2" s="3" t="s">
        <v>13</v>
      </c>
      <c r="H2" s="4">
        <v>22501550</v>
      </c>
      <c r="I2" s="4">
        <v>1558675</v>
      </c>
      <c r="J2" s="4">
        <v>783355</v>
      </c>
      <c r="N2" s="4">
        <v>4800</v>
      </c>
      <c r="O2" s="4">
        <v>4080</v>
      </c>
      <c r="P2" s="4">
        <v>3360</v>
      </c>
      <c r="Q2" s="4">
        <v>2640</v>
      </c>
      <c r="R2" s="4">
        <v>1920</v>
      </c>
      <c r="S2" t="str">
        <f>A2</f>
        <v>January</v>
      </c>
      <c r="T2">
        <f>B2</f>
        <v>1284</v>
      </c>
      <c r="V2" t="str">
        <f>UPPER(LEFT(A2,3))</f>
        <v>JAN</v>
      </c>
      <c r="W2">
        <f>E2</f>
        <v>1287</v>
      </c>
      <c r="X2">
        <f>T2+100</f>
        <v>1384</v>
      </c>
    </row>
    <row r="3" spans="1:24" x14ac:dyDescent="0.3">
      <c r="A3" s="3" t="s">
        <v>5</v>
      </c>
      <c r="B3" s="4">
        <v>1183</v>
      </c>
      <c r="C3" s="4">
        <v>478</v>
      </c>
      <c r="D3" s="4">
        <v>705</v>
      </c>
      <c r="E3" s="4">
        <v>1183</v>
      </c>
      <c r="G3" s="3" t="s">
        <v>5</v>
      </c>
      <c r="H3" s="4">
        <v>17923900</v>
      </c>
      <c r="I3" s="4">
        <v>1551460</v>
      </c>
      <c r="J3" s="4">
        <v>713680</v>
      </c>
      <c r="S3" t="str">
        <f>A3</f>
        <v>February</v>
      </c>
      <c r="T3">
        <f>B3</f>
        <v>1183</v>
      </c>
      <c r="V3" t="str">
        <f t="shared" ref="V3:V13" si="0">UPPER(LEFT(A3,3))</f>
        <v>FEB</v>
      </c>
      <c r="W3">
        <f t="shared" ref="W3:W13" si="1">E3</f>
        <v>1183</v>
      </c>
      <c r="X3">
        <f t="shared" ref="X3:X13" si="2">T3+100</f>
        <v>1283</v>
      </c>
    </row>
    <row r="4" spans="1:24" x14ac:dyDescent="0.3">
      <c r="A4" s="3" t="s">
        <v>7</v>
      </c>
      <c r="B4" s="4">
        <v>1253</v>
      </c>
      <c r="C4" s="4">
        <v>513</v>
      </c>
      <c r="D4" s="4">
        <v>742</v>
      </c>
      <c r="E4" s="4">
        <v>1255</v>
      </c>
      <c r="G4" s="3" t="s">
        <v>7</v>
      </c>
      <c r="H4" s="4">
        <v>21865400</v>
      </c>
      <c r="I4" s="4">
        <v>1604135</v>
      </c>
      <c r="J4" s="4">
        <v>730705</v>
      </c>
      <c r="S4" t="str">
        <f>A4</f>
        <v>March</v>
      </c>
      <c r="T4">
        <f>B4</f>
        <v>1253</v>
      </c>
      <c r="V4" t="str">
        <f t="shared" si="0"/>
        <v>MAR</v>
      </c>
      <c r="W4">
        <f t="shared" si="1"/>
        <v>1255</v>
      </c>
      <c r="X4">
        <f t="shared" si="2"/>
        <v>1353</v>
      </c>
    </row>
    <row r="5" spans="1:24" x14ac:dyDescent="0.3">
      <c r="A5" s="3" t="s">
        <v>12</v>
      </c>
      <c r="B5" s="4">
        <v>1241</v>
      </c>
      <c r="C5" s="4">
        <v>494</v>
      </c>
      <c r="D5" s="4">
        <v>752</v>
      </c>
      <c r="E5" s="4">
        <v>1246</v>
      </c>
      <c r="G5" s="3" t="s">
        <v>12</v>
      </c>
      <c r="H5" s="4">
        <v>19393450</v>
      </c>
      <c r="I5" s="4">
        <v>1629215</v>
      </c>
      <c r="J5" s="4">
        <v>765060</v>
      </c>
      <c r="S5" t="str">
        <f>A5</f>
        <v>April</v>
      </c>
      <c r="T5">
        <f>B5</f>
        <v>1241</v>
      </c>
      <c r="V5" t="str">
        <f t="shared" si="0"/>
        <v>APR</v>
      </c>
      <c r="W5">
        <f t="shared" si="1"/>
        <v>1246</v>
      </c>
      <c r="X5">
        <f t="shared" si="2"/>
        <v>1341</v>
      </c>
    </row>
    <row r="6" spans="1:24" x14ac:dyDescent="0.3">
      <c r="A6" s="3" t="s">
        <v>19</v>
      </c>
      <c r="B6" s="4">
        <v>1244</v>
      </c>
      <c r="C6" s="4">
        <v>497</v>
      </c>
      <c r="D6" s="4">
        <v>751</v>
      </c>
      <c r="E6" s="4">
        <v>1248</v>
      </c>
      <c r="G6" s="3" t="s">
        <v>19</v>
      </c>
      <c r="H6" s="4">
        <v>19774750</v>
      </c>
      <c r="I6" s="4">
        <v>1607505</v>
      </c>
      <c r="J6" s="4">
        <v>758585</v>
      </c>
      <c r="S6" t="str">
        <f>A6</f>
        <v>May</v>
      </c>
      <c r="T6">
        <f>B6</f>
        <v>1244</v>
      </c>
      <c r="V6" t="str">
        <f t="shared" si="0"/>
        <v>MAY</v>
      </c>
      <c r="W6">
        <f t="shared" si="1"/>
        <v>1248</v>
      </c>
      <c r="X6">
        <f t="shared" si="2"/>
        <v>1344</v>
      </c>
    </row>
    <row r="7" spans="1:24" x14ac:dyDescent="0.3">
      <c r="A7" s="3" t="s">
        <v>18</v>
      </c>
      <c r="B7" s="4">
        <v>1227</v>
      </c>
      <c r="C7" s="4">
        <v>467</v>
      </c>
      <c r="D7" s="4">
        <v>761</v>
      </c>
      <c r="E7" s="4">
        <v>1228</v>
      </c>
      <c r="G7" s="3" t="s">
        <v>18</v>
      </c>
      <c r="H7" s="4">
        <v>22365750</v>
      </c>
      <c r="I7" s="4">
        <v>1580470</v>
      </c>
      <c r="J7" s="4">
        <v>662255</v>
      </c>
      <c r="L7" t="s">
        <v>73</v>
      </c>
      <c r="S7" t="str">
        <f>A7</f>
        <v>June</v>
      </c>
      <c r="T7">
        <f>B7</f>
        <v>1227</v>
      </c>
      <c r="V7" t="str">
        <f t="shared" si="0"/>
        <v>JUN</v>
      </c>
      <c r="W7">
        <f t="shared" si="1"/>
        <v>1228</v>
      </c>
      <c r="X7">
        <f t="shared" si="2"/>
        <v>1327</v>
      </c>
    </row>
    <row r="8" spans="1:24" x14ac:dyDescent="0.3">
      <c r="A8" s="3" t="s">
        <v>15</v>
      </c>
      <c r="B8" s="4">
        <v>1314</v>
      </c>
      <c r="C8" s="4">
        <v>515</v>
      </c>
      <c r="D8" s="4">
        <v>799</v>
      </c>
      <c r="E8" s="4">
        <v>1314</v>
      </c>
      <c r="G8" s="3" t="s">
        <v>15</v>
      </c>
      <c r="H8" s="4">
        <v>21166000</v>
      </c>
      <c r="I8" s="4">
        <v>1825525</v>
      </c>
      <c r="J8" s="4">
        <v>707950</v>
      </c>
      <c r="L8" s="20" t="s">
        <v>8</v>
      </c>
      <c r="M8" s="20" t="s">
        <v>10</v>
      </c>
      <c r="N8" s="20" t="s">
        <v>6</v>
      </c>
      <c r="S8" t="str">
        <f>A8</f>
        <v>July</v>
      </c>
      <c r="T8">
        <f>B8</f>
        <v>1314</v>
      </c>
      <c r="V8" t="str">
        <f t="shared" si="0"/>
        <v>JUL</v>
      </c>
      <c r="W8">
        <f t="shared" si="1"/>
        <v>1314</v>
      </c>
      <c r="X8">
        <f t="shared" si="2"/>
        <v>1414</v>
      </c>
    </row>
    <row r="9" spans="1:24" x14ac:dyDescent="0.3">
      <c r="A9" s="3" t="s">
        <v>17</v>
      </c>
      <c r="B9" s="4">
        <v>1289</v>
      </c>
      <c r="C9" s="4">
        <v>510</v>
      </c>
      <c r="D9" s="4">
        <v>781</v>
      </c>
      <c r="E9" s="4">
        <v>1291</v>
      </c>
      <c r="G9" s="3" t="s">
        <v>17</v>
      </c>
      <c r="H9" s="4">
        <v>18554000</v>
      </c>
      <c r="I9" s="4">
        <v>1628125</v>
      </c>
      <c r="J9" s="4">
        <v>712635</v>
      </c>
      <c r="L9" s="15">
        <f>H14</f>
        <v>244556100</v>
      </c>
      <c r="M9" s="15">
        <f>I14</f>
        <v>19514780</v>
      </c>
      <c r="N9" s="15">
        <f>J14</f>
        <v>8757065</v>
      </c>
      <c r="S9" t="str">
        <f>A9</f>
        <v>August</v>
      </c>
      <c r="T9">
        <f>B9</f>
        <v>1289</v>
      </c>
      <c r="V9" t="str">
        <f t="shared" si="0"/>
        <v>AUG</v>
      </c>
      <c r="W9">
        <f t="shared" si="1"/>
        <v>1291</v>
      </c>
      <c r="X9">
        <f t="shared" si="2"/>
        <v>1389</v>
      </c>
    </row>
    <row r="10" spans="1:24" ht="18" customHeight="1" x14ac:dyDescent="0.3">
      <c r="A10" s="3" t="s">
        <v>16</v>
      </c>
      <c r="B10" s="4">
        <v>1298</v>
      </c>
      <c r="C10" s="4">
        <v>513</v>
      </c>
      <c r="D10" s="4">
        <v>790</v>
      </c>
      <c r="E10" s="4">
        <v>1303</v>
      </c>
      <c r="G10" s="3" t="s">
        <v>16</v>
      </c>
      <c r="H10" s="4">
        <v>21549650</v>
      </c>
      <c r="I10" s="4">
        <v>1555375</v>
      </c>
      <c r="J10" s="4">
        <v>789705</v>
      </c>
      <c r="S10" t="str">
        <f>A10</f>
        <v>September</v>
      </c>
      <c r="T10">
        <f>B10</f>
        <v>1298</v>
      </c>
      <c r="V10" t="str">
        <f t="shared" si="0"/>
        <v>SEP</v>
      </c>
      <c r="W10">
        <f t="shared" si="1"/>
        <v>1303</v>
      </c>
      <c r="X10">
        <f t="shared" si="2"/>
        <v>1398</v>
      </c>
    </row>
    <row r="11" spans="1:24" ht="14.4" customHeight="1" x14ac:dyDescent="0.3">
      <c r="A11" s="3" t="s">
        <v>9</v>
      </c>
      <c r="B11" s="4">
        <v>1243</v>
      </c>
      <c r="C11" s="4">
        <v>482</v>
      </c>
      <c r="D11" s="4">
        <v>762</v>
      </c>
      <c r="E11" s="4">
        <v>1244</v>
      </c>
      <c r="G11" s="3" t="s">
        <v>9</v>
      </c>
      <c r="H11" s="4">
        <v>21230700</v>
      </c>
      <c r="I11" s="4">
        <v>1686040</v>
      </c>
      <c r="J11" s="4">
        <v>701230</v>
      </c>
      <c r="L11" s="6">
        <f>H14/O31</f>
        <v>0.89637481966885757</v>
      </c>
      <c r="M11" s="6">
        <f>I14/O31</f>
        <v>7.1527790160938243E-2</v>
      </c>
      <c r="N11" s="6">
        <f>J14/O31</f>
        <v>3.2097390170204153E-2</v>
      </c>
      <c r="S11" t="str">
        <f>A11</f>
        <v>October</v>
      </c>
      <c r="T11">
        <f>B11</f>
        <v>1243</v>
      </c>
      <c r="V11" t="str">
        <f t="shared" si="0"/>
        <v>OCT</v>
      </c>
      <c r="W11">
        <f t="shared" si="1"/>
        <v>1244</v>
      </c>
      <c r="X11">
        <f t="shared" si="2"/>
        <v>1343</v>
      </c>
    </row>
    <row r="12" spans="1:24" x14ac:dyDescent="0.3">
      <c r="A12" s="3" t="s">
        <v>14</v>
      </c>
      <c r="B12" s="4">
        <v>1183</v>
      </c>
      <c r="C12" s="4">
        <v>452</v>
      </c>
      <c r="D12" s="4">
        <v>731</v>
      </c>
      <c r="E12" s="4">
        <v>1183</v>
      </c>
      <c r="G12" s="3" t="s">
        <v>14</v>
      </c>
      <c r="H12" s="4">
        <v>18555350</v>
      </c>
      <c r="I12" s="4">
        <v>1592885</v>
      </c>
      <c r="J12" s="4">
        <v>725975</v>
      </c>
      <c r="S12" t="str">
        <f>A12</f>
        <v>November</v>
      </c>
      <c r="T12">
        <f>B12</f>
        <v>1183</v>
      </c>
      <c r="V12" t="str">
        <f t="shared" si="0"/>
        <v>NOV</v>
      </c>
      <c r="W12">
        <f t="shared" si="1"/>
        <v>1183</v>
      </c>
      <c r="X12">
        <f t="shared" si="2"/>
        <v>1283</v>
      </c>
    </row>
    <row r="13" spans="1:24" x14ac:dyDescent="0.3">
      <c r="A13" s="3" t="s">
        <v>11</v>
      </c>
      <c r="B13" s="4">
        <v>1216</v>
      </c>
      <c r="C13" s="4">
        <v>479</v>
      </c>
      <c r="D13" s="4">
        <v>739</v>
      </c>
      <c r="E13" s="4">
        <v>1218</v>
      </c>
      <c r="G13" s="3" t="s">
        <v>11</v>
      </c>
      <c r="H13" s="4">
        <v>19675600</v>
      </c>
      <c r="I13" s="4">
        <v>1695370</v>
      </c>
      <c r="J13" s="4">
        <v>705930</v>
      </c>
      <c r="S13" t="str">
        <f>A13</f>
        <v>December</v>
      </c>
      <c r="T13">
        <f>B13</f>
        <v>1216</v>
      </c>
      <c r="V13" t="str">
        <f t="shared" si="0"/>
        <v>DEC</v>
      </c>
      <c r="W13">
        <f t="shared" si="1"/>
        <v>1218</v>
      </c>
      <c r="X13">
        <f t="shared" si="2"/>
        <v>1316</v>
      </c>
    </row>
    <row r="14" spans="1:24" x14ac:dyDescent="0.3">
      <c r="A14" s="3" t="s">
        <v>30</v>
      </c>
      <c r="B14" s="4">
        <v>14975</v>
      </c>
      <c r="C14" s="4">
        <v>5931</v>
      </c>
      <c r="D14" s="4">
        <v>9069</v>
      </c>
      <c r="E14" s="4">
        <v>15000</v>
      </c>
      <c r="G14" s="3" t="s">
        <v>30</v>
      </c>
      <c r="H14" s="4">
        <v>244556100</v>
      </c>
      <c r="I14" s="4">
        <v>19514780</v>
      </c>
      <c r="J14" s="4">
        <v>8757065</v>
      </c>
    </row>
    <row r="16" spans="1:24" x14ac:dyDescent="0.3">
      <c r="A16" s="3" t="s">
        <v>34</v>
      </c>
      <c r="B16">
        <f>C14+D14</f>
        <v>15000</v>
      </c>
    </row>
    <row r="17" spans="3:17" x14ac:dyDescent="0.3">
      <c r="P17" s="11" t="s">
        <v>71</v>
      </c>
    </row>
    <row r="18" spans="3:17" x14ac:dyDescent="0.3">
      <c r="N18" s="2" t="s">
        <v>29</v>
      </c>
      <c r="O18" t="s">
        <v>70</v>
      </c>
    </row>
    <row r="19" spans="3:17" x14ac:dyDescent="0.3">
      <c r="E19" s="11" t="s">
        <v>54</v>
      </c>
      <c r="N19" s="3" t="s">
        <v>13</v>
      </c>
      <c r="O19" s="4">
        <v>24843580</v>
      </c>
      <c r="P19" t="str">
        <f>UPPER(LEFT(A2,3))</f>
        <v>JAN</v>
      </c>
      <c r="Q19">
        <f>O19</f>
        <v>24843580</v>
      </c>
    </row>
    <row r="20" spans="3:17" x14ac:dyDescent="0.3">
      <c r="C20" s="5" t="s">
        <v>52</v>
      </c>
      <c r="D20" s="3">
        <f>SUM(D2:D13)</f>
        <v>9069</v>
      </c>
      <c r="E20" s="9">
        <f>D20/1000</f>
        <v>9.0690000000000008</v>
      </c>
      <c r="F20" s="11" t="s">
        <v>55</v>
      </c>
      <c r="I20" s="13" t="s">
        <v>56</v>
      </c>
      <c r="J20" s="13" t="s">
        <v>51</v>
      </c>
      <c r="N20" s="3" t="s">
        <v>5</v>
      </c>
      <c r="O20" s="4">
        <v>20189040</v>
      </c>
      <c r="P20" t="str">
        <f t="shared" ref="P20:P30" si="3">UPPER(LEFT(A3,3))</f>
        <v>FEB</v>
      </c>
      <c r="Q20">
        <f t="shared" ref="Q20:Q30" si="4">O20</f>
        <v>20189040</v>
      </c>
    </row>
    <row r="21" spans="3:17" x14ac:dyDescent="0.3">
      <c r="F21" t="s">
        <v>50</v>
      </c>
      <c r="G21" t="s">
        <v>51</v>
      </c>
      <c r="I21" s="14" t="s">
        <v>57</v>
      </c>
      <c r="J21" s="14">
        <v>10</v>
      </c>
      <c r="N21" s="3" t="s">
        <v>7</v>
      </c>
      <c r="O21" s="4">
        <v>24200240</v>
      </c>
      <c r="P21" t="str">
        <f t="shared" si="3"/>
        <v>MAR</v>
      </c>
      <c r="Q21">
        <f t="shared" si="4"/>
        <v>24200240</v>
      </c>
    </row>
    <row r="22" spans="3:17" x14ac:dyDescent="0.3">
      <c r="C22" s="5" t="s">
        <v>43</v>
      </c>
      <c r="D22" s="3">
        <f>SUM(B2:B13)</f>
        <v>14975</v>
      </c>
      <c r="E22" s="10">
        <f>D22/1000</f>
        <v>14.975</v>
      </c>
      <c r="F22" t="s">
        <v>49</v>
      </c>
      <c r="G22" s="8">
        <f>D20/D22</f>
        <v>0.60560934891485807</v>
      </c>
      <c r="I22" s="14" t="s">
        <v>58</v>
      </c>
      <c r="J22" s="14">
        <v>10</v>
      </c>
      <c r="N22" s="3" t="s">
        <v>12</v>
      </c>
      <c r="O22" s="4">
        <v>21787725</v>
      </c>
      <c r="P22" t="str">
        <f t="shared" si="3"/>
        <v>APR</v>
      </c>
      <c r="Q22">
        <f t="shared" si="4"/>
        <v>21787725</v>
      </c>
    </row>
    <row r="23" spans="3:17" x14ac:dyDescent="0.3">
      <c r="F23" t="s">
        <v>48</v>
      </c>
      <c r="G23" s="8">
        <f>1-G22</f>
        <v>0.39439065108514193</v>
      </c>
      <c r="I23" s="14" t="s">
        <v>59</v>
      </c>
      <c r="J23" s="14">
        <v>10</v>
      </c>
      <c r="N23" s="3" t="s">
        <v>19</v>
      </c>
      <c r="O23" s="4">
        <v>22140840</v>
      </c>
      <c r="P23" t="str">
        <f t="shared" si="3"/>
        <v>MAY</v>
      </c>
      <c r="Q23">
        <f t="shared" si="4"/>
        <v>22140840</v>
      </c>
    </row>
    <row r="24" spans="3:17" x14ac:dyDescent="0.3">
      <c r="C24" s="5" t="s">
        <v>53</v>
      </c>
      <c r="D24" s="3">
        <f>SUM(E2:E13)</f>
        <v>15000</v>
      </c>
      <c r="E24" s="12">
        <f>D24/1000</f>
        <v>15</v>
      </c>
      <c r="I24" s="14" t="s">
        <v>60</v>
      </c>
      <c r="J24" s="14">
        <v>10</v>
      </c>
      <c r="N24" s="3" t="s">
        <v>18</v>
      </c>
      <c r="O24" s="4">
        <v>24608475</v>
      </c>
      <c r="P24" t="str">
        <f t="shared" si="3"/>
        <v>JUN</v>
      </c>
      <c r="Q24">
        <f t="shared" si="4"/>
        <v>24608475</v>
      </c>
    </row>
    <row r="25" spans="3:17" x14ac:dyDescent="0.3">
      <c r="I25" s="14" t="s">
        <v>61</v>
      </c>
      <c r="J25" s="14">
        <v>10</v>
      </c>
      <c r="N25" s="3" t="s">
        <v>15</v>
      </c>
      <c r="O25" s="4">
        <v>23699475</v>
      </c>
      <c r="P25" t="str">
        <f t="shared" si="3"/>
        <v>JUL</v>
      </c>
      <c r="Q25">
        <f t="shared" si="4"/>
        <v>23699475</v>
      </c>
    </row>
    <row r="26" spans="3:17" x14ac:dyDescent="0.3">
      <c r="C26" s="5" t="s">
        <v>47</v>
      </c>
      <c r="D26" s="7">
        <f>G22</f>
        <v>0.60560934891485807</v>
      </c>
      <c r="E26" s="7">
        <f>D26</f>
        <v>0.60560934891485807</v>
      </c>
      <c r="I26" s="14" t="s">
        <v>62</v>
      </c>
      <c r="J26" s="14">
        <v>50</v>
      </c>
      <c r="N26" s="3" t="s">
        <v>17</v>
      </c>
      <c r="O26" s="4">
        <v>20894760</v>
      </c>
      <c r="P26" t="str">
        <f t="shared" si="3"/>
        <v>AUG</v>
      </c>
      <c r="Q26">
        <f t="shared" si="4"/>
        <v>20894760</v>
      </c>
    </row>
    <row r="27" spans="3:17" x14ac:dyDescent="0.3">
      <c r="N27" s="3" t="s">
        <v>16</v>
      </c>
      <c r="O27" s="4">
        <v>23894730</v>
      </c>
      <c r="P27" t="str">
        <f t="shared" si="3"/>
        <v>SEP</v>
      </c>
      <c r="Q27">
        <f t="shared" si="4"/>
        <v>23894730</v>
      </c>
    </row>
    <row r="28" spans="3:17" x14ac:dyDescent="0.3">
      <c r="C28" s="5" t="s">
        <v>72</v>
      </c>
      <c r="D28" s="3">
        <f>O31</f>
        <v>272827945</v>
      </c>
      <c r="E28" s="19">
        <f>D28/10000000</f>
        <v>27.282794500000001</v>
      </c>
      <c r="N28" s="3" t="s">
        <v>9</v>
      </c>
      <c r="O28" s="4">
        <v>23617970</v>
      </c>
      <c r="P28" t="str">
        <f t="shared" si="3"/>
        <v>OCT</v>
      </c>
      <c r="Q28">
        <f t="shared" si="4"/>
        <v>23617970</v>
      </c>
    </row>
    <row r="29" spans="3:17" x14ac:dyDescent="0.3">
      <c r="N29" s="3" t="s">
        <v>14</v>
      </c>
      <c r="O29" s="4">
        <v>20874210</v>
      </c>
      <c r="P29" t="str">
        <f t="shared" si="3"/>
        <v>NOV</v>
      </c>
      <c r="Q29">
        <f t="shared" si="4"/>
        <v>20874210</v>
      </c>
    </row>
    <row r="30" spans="3:17" x14ac:dyDescent="0.3">
      <c r="C30" s="11" t="s">
        <v>69</v>
      </c>
      <c r="N30" s="3" t="s">
        <v>11</v>
      </c>
      <c r="O30" s="4">
        <v>22076900</v>
      </c>
      <c r="P30" t="str">
        <f t="shared" si="3"/>
        <v>DEC</v>
      </c>
      <c r="Q30">
        <f t="shared" si="4"/>
        <v>22076900</v>
      </c>
    </row>
    <row r="31" spans="3:17" x14ac:dyDescent="0.3">
      <c r="C31" s="13" t="s">
        <v>63</v>
      </c>
      <c r="D31" s="16" t="s">
        <v>64</v>
      </c>
      <c r="N31" s="3" t="s">
        <v>30</v>
      </c>
      <c r="O31" s="4">
        <v>272827945</v>
      </c>
    </row>
    <row r="32" spans="3:17" x14ac:dyDescent="0.3">
      <c r="C32" s="14" t="s">
        <v>20</v>
      </c>
      <c r="D32" s="18">
        <v>14975</v>
      </c>
    </row>
    <row r="33" spans="3:4" x14ac:dyDescent="0.3">
      <c r="C33" s="14" t="s">
        <v>65</v>
      </c>
      <c r="D33" s="15">
        <v>12000</v>
      </c>
    </row>
    <row r="34" spans="3:4" x14ac:dyDescent="0.3">
      <c r="C34" s="14" t="s">
        <v>66</v>
      </c>
      <c r="D34" s="15">
        <v>8000</v>
      </c>
    </row>
    <row r="35" spans="3:4" x14ac:dyDescent="0.3">
      <c r="C35" s="14" t="s">
        <v>67</v>
      </c>
      <c r="D35" s="18">
        <v>5990</v>
      </c>
    </row>
    <row r="36" spans="3:4" x14ac:dyDescent="0.3">
      <c r="C36" s="14" t="s">
        <v>68</v>
      </c>
      <c r="D36" s="17">
        <v>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2B8F4-8FD4-44F2-ADEA-BD29B7037B08}">
  <dimension ref="A1"/>
  <sheetViews>
    <sheetView tabSelected="1" zoomScale="60" zoomScaleNormal="6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Dashboard_Data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Ebin joshy</cp:lastModifiedBy>
  <dcterms:created xsi:type="dcterms:W3CDTF">2026-06-27T09:40:55Z</dcterms:created>
  <dcterms:modified xsi:type="dcterms:W3CDTF">2026-06-28T19:02:29Z</dcterms:modified>
</cp:coreProperties>
</file>